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3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3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3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3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3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4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4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4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4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4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5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5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.xml" ContentType="application/vnd.openxmlformats-officedocument.drawing+xml"/>
  <Override PartName="/xl/charts/chart5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oman\Desktop\Рабочий стол\"/>
    </mc:Choice>
  </mc:AlternateContent>
  <xr:revisionPtr revIDLastSave="0" documentId="13_ncr:1_{B1BB0BF1-BA36-4294-9E2B-606DAD0DAC66}" xr6:coauthVersionLast="47" xr6:coauthVersionMax="47" xr10:uidLastSave="{00000000-0000-0000-0000-000000000000}"/>
  <bookViews>
    <workbookView xWindow="390" yWindow="390" windowWidth="9930" windowHeight="13350" activeTab="2" xr2:uid="{00000000-000D-0000-FFFF-FFFF00000000}"/>
  </bookViews>
  <sheets>
    <sheet name="Лист1" sheetId="1" r:id="rId1"/>
    <sheet name="Лист2" sheetId="2" r:id="rId2"/>
    <sheet name="Лист4" sheetId="7" r:id="rId3"/>
    <sheet name="Лист3" sheetId="3" r:id="rId4"/>
    <sheet name="KzCA" sheetId="4" r:id="rId5"/>
    <sheet name="SPCA" sheetId="5" r:id="rId6"/>
    <sheet name="ECA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O18" i="7" l="1"/>
  <c r="FJ23" i="7" l="1"/>
  <c r="FK23" i="7"/>
  <c r="FK37" i="7"/>
  <c r="FK29" i="7"/>
  <c r="FK30" i="7"/>
  <c r="FK31" i="7"/>
  <c r="FK32" i="7"/>
  <c r="FK33" i="7"/>
  <c r="FK34" i="7"/>
  <c r="FK35" i="7"/>
  <c r="FK18" i="7"/>
  <c r="FJ18" i="7"/>
  <c r="FK22" i="7"/>
  <c r="FJ22" i="7"/>
  <c r="FJ21" i="7"/>
  <c r="FK21" i="7"/>
  <c r="FL21" i="7"/>
  <c r="FK19" i="7"/>
  <c r="FJ19" i="7"/>
  <c r="FK24" i="7"/>
  <c r="FJ24" i="7"/>
  <c r="FK20" i="7"/>
  <c r="FJ20" i="7"/>
  <c r="CU32" i="7"/>
  <c r="CU31" i="7"/>
  <c r="CV29" i="7"/>
  <c r="CV36" i="7" s="1"/>
  <c r="BT16" i="7"/>
  <c r="BT24" i="7" s="1"/>
  <c r="BU16" i="7"/>
  <c r="BV16" i="7"/>
  <c r="BW16" i="7"/>
  <c r="BU21" i="7"/>
  <c r="FM30" i="7"/>
  <c r="FO29" i="7"/>
  <c r="FO30" i="7"/>
  <c r="FO31" i="7"/>
  <c r="FO32" i="7"/>
  <c r="FO36" i="7" s="1"/>
  <c r="FO38" i="7" s="1"/>
  <c r="FO33" i="7"/>
  <c r="FO34" i="7"/>
  <c r="FO35" i="7"/>
  <c r="FN25" i="7"/>
  <c r="FO25" i="7"/>
  <c r="FN23" i="7"/>
  <c r="FO23" i="7"/>
  <c r="FM24" i="7"/>
  <c r="FM22" i="7"/>
  <c r="FM21" i="7"/>
  <c r="FM32" i="7" s="1"/>
  <c r="FM20" i="7"/>
  <c r="FM19" i="7"/>
  <c r="FM18" i="7"/>
  <c r="FL18" i="7"/>
  <c r="FL24" i="7"/>
  <c r="FL22" i="7"/>
  <c r="FM33" i="7" s="1"/>
  <c r="FL20" i="7"/>
  <c r="FL19" i="7"/>
  <c r="FC30" i="7"/>
  <c r="FC31" i="7"/>
  <c r="FC32" i="7"/>
  <c r="FC33" i="7"/>
  <c r="FC35" i="7"/>
  <c r="FC29" i="7"/>
  <c r="FB23" i="7"/>
  <c r="FB25" i="7" s="1"/>
  <c r="FC23" i="7"/>
  <c r="IZ37" i="7"/>
  <c r="IZ18" i="7"/>
  <c r="IY18" i="7"/>
  <c r="IZ24" i="7"/>
  <c r="IY24" i="7"/>
  <c r="IZ20" i="7"/>
  <c r="IY20" i="7"/>
  <c r="IZ22" i="7"/>
  <c r="IY22" i="7"/>
  <c r="IZ21" i="7"/>
  <c r="IY21" i="7"/>
  <c r="IY19" i="7"/>
  <c r="IZ19" i="7"/>
  <c r="IX29" i="7"/>
  <c r="IX31" i="7"/>
  <c r="IX32" i="7"/>
  <c r="IX37" i="7"/>
  <c r="IX24" i="7"/>
  <c r="IX22" i="7"/>
  <c r="IW24" i="7"/>
  <c r="IW22" i="7"/>
  <c r="IX19" i="7"/>
  <c r="IW19" i="7"/>
  <c r="IV37" i="7"/>
  <c r="IV29" i="7"/>
  <c r="IV30" i="7"/>
  <c r="IV32" i="7"/>
  <c r="IV35" i="7"/>
  <c r="IV23" i="7"/>
  <c r="IU20" i="7"/>
  <c r="IU22" i="7"/>
  <c r="IV33" i="7" s="1"/>
  <c r="JC16" i="7"/>
  <c r="JC19" i="7" s="1"/>
  <c r="JB16" i="7"/>
  <c r="JB21" i="7" s="1"/>
  <c r="IT19" i="7"/>
  <c r="IS19" i="7"/>
  <c r="IT21" i="7"/>
  <c r="IS21" i="7"/>
  <c r="IT20" i="7"/>
  <c r="IS20" i="7"/>
  <c r="IT18" i="7"/>
  <c r="IS18" i="7"/>
  <c r="IT22" i="7"/>
  <c r="IS22" i="7"/>
  <c r="IT24" i="7"/>
  <c r="IS24" i="7"/>
  <c r="IR29" i="7"/>
  <c r="IR30" i="7"/>
  <c r="IR31" i="7"/>
  <c r="IR32" i="7"/>
  <c r="IR33" i="7"/>
  <c r="IR35" i="7"/>
  <c r="IQ23" i="7"/>
  <c r="IR23" i="7"/>
  <c r="IP29" i="7"/>
  <c r="IP30" i="7"/>
  <c r="IP32" i="7"/>
  <c r="IP33" i="7"/>
  <c r="IP35" i="7"/>
  <c r="IP20" i="7"/>
  <c r="IP23" i="7" s="1"/>
  <c r="IO20" i="7"/>
  <c r="IO23" i="7" s="1"/>
  <c r="IN30" i="7"/>
  <c r="IN32" i="7"/>
  <c r="IN33" i="7"/>
  <c r="IN35" i="7"/>
  <c r="IN29" i="7"/>
  <c r="IM23" i="7"/>
  <c r="IN20" i="7"/>
  <c r="IN23" i="7" s="1"/>
  <c r="II29" i="7"/>
  <c r="II30" i="7"/>
  <c r="II32" i="7"/>
  <c r="II33" i="7"/>
  <c r="II35" i="7"/>
  <c r="II20" i="7"/>
  <c r="II23" i="7" s="1"/>
  <c r="II25" i="7" s="1"/>
  <c r="IH20" i="7"/>
  <c r="IH23" i="7" s="1"/>
  <c r="IG29" i="7"/>
  <c r="IG30" i="7"/>
  <c r="IG32" i="7"/>
  <c r="IG33" i="7"/>
  <c r="IG35" i="7"/>
  <c r="IG20" i="7"/>
  <c r="IG23" i="7" s="1"/>
  <c r="IG25" i="7" s="1"/>
  <c r="IF20" i="7"/>
  <c r="IF23" i="7" s="1"/>
  <c r="IE29" i="7"/>
  <c r="IE30" i="7"/>
  <c r="IE32" i="7"/>
  <c r="IE33" i="7"/>
  <c r="ID24" i="7"/>
  <c r="IE35" i="7" s="1"/>
  <c r="IE20" i="7"/>
  <c r="IE23" i="7" s="1"/>
  <c r="ID20" i="7"/>
  <c r="IC29" i="7"/>
  <c r="IC30" i="7"/>
  <c r="IC32" i="7"/>
  <c r="IC33" i="7"/>
  <c r="IC35" i="7"/>
  <c r="IC20" i="7"/>
  <c r="IC23" i="7" s="1"/>
  <c r="IC25" i="7" s="1"/>
  <c r="IB20" i="7"/>
  <c r="IB23" i="7" s="1"/>
  <c r="IA29" i="7"/>
  <c r="IA30" i="7"/>
  <c r="IA32" i="7"/>
  <c r="IA33" i="7"/>
  <c r="IA35" i="7"/>
  <c r="IA20" i="7"/>
  <c r="IA23" i="7" s="1"/>
  <c r="IA25" i="7" s="1"/>
  <c r="HZ20" i="7"/>
  <c r="HZ23" i="7" s="1"/>
  <c r="HY29" i="7"/>
  <c r="HY30" i="7"/>
  <c r="HY32" i="7"/>
  <c r="HY33" i="7"/>
  <c r="HY35" i="7"/>
  <c r="HY20" i="7"/>
  <c r="HY23" i="7" s="1"/>
  <c r="HY25" i="7" s="1"/>
  <c r="HX20" i="7"/>
  <c r="HW30" i="7"/>
  <c r="HW32" i="7"/>
  <c r="HW33" i="7"/>
  <c r="HW35" i="7"/>
  <c r="HW29" i="7"/>
  <c r="HW20" i="7"/>
  <c r="HW23" i="7" s="1"/>
  <c r="HW25" i="7" s="1"/>
  <c r="HV20" i="7"/>
  <c r="HU20" i="7"/>
  <c r="HU23" i="7" s="1"/>
  <c r="HS20" i="7"/>
  <c r="HS23" i="7" s="1"/>
  <c r="HS25" i="7" s="1"/>
  <c r="HQ20" i="7"/>
  <c r="HQ23" i="7" s="1"/>
  <c r="HQ25" i="7" s="1"/>
  <c r="HO20" i="7"/>
  <c r="HM20" i="7"/>
  <c r="HK20" i="7"/>
  <c r="HI20" i="7"/>
  <c r="HG20" i="7"/>
  <c r="HG23" i="7" s="1"/>
  <c r="HE20" i="7"/>
  <c r="HC20" i="7"/>
  <c r="HC21" i="7"/>
  <c r="HC32" i="7" s="1"/>
  <c r="HA20" i="7"/>
  <c r="HA23" i="7" s="1"/>
  <c r="HA25" i="7" s="1"/>
  <c r="HU30" i="7"/>
  <c r="HU32" i="7"/>
  <c r="HU33" i="7"/>
  <c r="HU35" i="7"/>
  <c r="HU29" i="7"/>
  <c r="HT20" i="7"/>
  <c r="HS30" i="7"/>
  <c r="HS32" i="7"/>
  <c r="HS33" i="7"/>
  <c r="HS35" i="7"/>
  <c r="HS29" i="7"/>
  <c r="HR20" i="7"/>
  <c r="HQ30" i="7"/>
  <c r="HQ32" i="7"/>
  <c r="HQ33" i="7"/>
  <c r="HQ35" i="7"/>
  <c r="HQ29" i="7"/>
  <c r="HP20" i="7"/>
  <c r="HP23" i="7" s="1"/>
  <c r="HO30" i="7"/>
  <c r="HO32" i="7"/>
  <c r="HO33" i="7"/>
  <c r="HO35" i="7"/>
  <c r="HO29" i="7"/>
  <c r="HN20" i="7"/>
  <c r="HM30" i="7"/>
  <c r="HM32" i="7"/>
  <c r="HM33" i="7"/>
  <c r="HM35" i="7"/>
  <c r="HM29" i="7"/>
  <c r="HL20" i="7"/>
  <c r="HK30" i="7"/>
  <c r="HK32" i="7"/>
  <c r="HK33" i="7"/>
  <c r="HK35" i="7"/>
  <c r="HK29" i="7"/>
  <c r="HJ20" i="7"/>
  <c r="HI30" i="7"/>
  <c r="HI32" i="7"/>
  <c r="HI33" i="7"/>
  <c r="HI35" i="7"/>
  <c r="HI29" i="7"/>
  <c r="HH20" i="7"/>
  <c r="HG30" i="7"/>
  <c r="HG32" i="7"/>
  <c r="HG33" i="7"/>
  <c r="HG35" i="7"/>
  <c r="HG29" i="7"/>
  <c r="HF20" i="7"/>
  <c r="HE30" i="7"/>
  <c r="HE32" i="7"/>
  <c r="HE33" i="7"/>
  <c r="HE35" i="7"/>
  <c r="HE29" i="7"/>
  <c r="HD20" i="7"/>
  <c r="HC30" i="7"/>
  <c r="HC33" i="7"/>
  <c r="HC35" i="7"/>
  <c r="HC29" i="7"/>
  <c r="HB20" i="7"/>
  <c r="HA30" i="7"/>
  <c r="HA32" i="7"/>
  <c r="HA33" i="7"/>
  <c r="HA35" i="7"/>
  <c r="HA29" i="7"/>
  <c r="GZ20" i="7"/>
  <c r="GZ23" i="7" s="1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C207" i="2"/>
  <c r="AL212" i="2"/>
  <c r="AL211" i="2"/>
  <c r="AL210" i="2"/>
  <c r="AL208" i="2"/>
  <c r="AM208" i="2" s="1"/>
  <c r="BD38" i="7"/>
  <c r="AH223" i="2"/>
  <c r="AH212" i="2"/>
  <c r="AH213" i="2"/>
  <c r="AH220" i="2"/>
  <c r="AH215" i="2"/>
  <c r="AL216" i="2"/>
  <c r="AM216" i="2"/>
  <c r="AM215" i="2"/>
  <c r="AL215" i="2"/>
  <c r="AD10" i="2"/>
  <c r="AD8" i="2"/>
  <c r="AD11" i="2"/>
  <c r="AD7" i="2"/>
  <c r="AE13" i="2"/>
  <c r="AD13" i="2"/>
  <c r="AE11" i="2"/>
  <c r="AE10" i="2"/>
  <c r="AE9" i="2"/>
  <c r="AD9" i="2"/>
  <c r="AE8" i="2"/>
  <c r="AE7" i="2"/>
  <c r="V12" i="2"/>
  <c r="U12" i="2"/>
  <c r="AT20" i="7"/>
  <c r="AH210" i="2"/>
  <c r="AH211" i="2"/>
  <c r="AH214" i="2"/>
  <c r="AH216" i="2"/>
  <c r="AH217" i="2"/>
  <c r="AH218" i="2"/>
  <c r="AH219" i="2"/>
  <c r="AH208" i="2"/>
  <c r="DY16" i="7"/>
  <c r="DY24" i="7" s="1"/>
  <c r="CG16" i="7"/>
  <c r="CG21" i="7" s="1"/>
  <c r="CF16" i="7"/>
  <c r="CF18" i="7" s="1"/>
  <c r="CH16" i="7"/>
  <c r="CH20" i="7" s="1"/>
  <c r="AL209" i="2"/>
  <c r="FE19" i="7"/>
  <c r="BZ16" i="7"/>
  <c r="BZ24" i="7" s="1"/>
  <c r="FF16" i="7"/>
  <c r="FF24" i="7" s="1"/>
  <c r="FD19" i="7"/>
  <c r="CD16" i="7"/>
  <c r="CD20" i="7" s="1"/>
  <c r="CD22" i="7" s="1"/>
  <c r="FT16" i="7"/>
  <c r="FT20" i="7" s="1"/>
  <c r="FQ16" i="7"/>
  <c r="FQ24" i="7" s="1"/>
  <c r="AB222" i="2"/>
  <c r="AC222" i="2"/>
  <c r="AD222" i="2"/>
  <c r="AA222" i="2"/>
  <c r="AJ201" i="2"/>
  <c r="AA214" i="2"/>
  <c r="AA218" i="2"/>
  <c r="AM201" i="2"/>
  <c r="L210" i="2"/>
  <c r="AC218" i="2"/>
  <c r="AD218" i="2"/>
  <c r="AB218" i="2"/>
  <c r="AC214" i="2"/>
  <c r="AD214" i="2"/>
  <c r="AB214" i="2"/>
  <c r="AD210" i="2"/>
  <c r="AC210" i="2"/>
  <c r="AB210" i="2"/>
  <c r="AA210" i="2"/>
  <c r="AM200" i="2"/>
  <c r="AM199" i="2"/>
  <c r="AL198" i="2"/>
  <c r="AL201" i="2" s="1"/>
  <c r="AL197" i="2"/>
  <c r="AL196" i="2"/>
  <c r="AL195" i="2"/>
  <c r="AL194" i="2"/>
  <c r="AL193" i="2"/>
  <c r="AL192" i="2"/>
  <c r="AL191" i="2"/>
  <c r="AL190" i="2"/>
  <c r="AJ200" i="2"/>
  <c r="AJ199" i="2"/>
  <c r="AI198" i="2"/>
  <c r="AI197" i="2"/>
  <c r="AI196" i="2"/>
  <c r="AI195" i="2"/>
  <c r="AI194" i="2"/>
  <c r="AI193" i="2"/>
  <c r="AI192" i="2"/>
  <c r="AI191" i="2"/>
  <c r="AI190" i="2"/>
  <c r="AG201" i="2"/>
  <c r="AG200" i="2"/>
  <c r="AG199" i="2"/>
  <c r="AF198" i="2"/>
  <c r="AF197" i="2"/>
  <c r="AF196" i="2"/>
  <c r="AF195" i="2"/>
  <c r="AF194" i="2"/>
  <c r="AF193" i="2"/>
  <c r="AF192" i="2"/>
  <c r="AF191" i="2"/>
  <c r="AF190" i="2"/>
  <c r="AG190" i="2" s="1"/>
  <c r="AD201" i="2"/>
  <c r="AD200" i="2"/>
  <c r="AD199" i="2"/>
  <c r="AC198" i="2"/>
  <c r="AC197" i="2"/>
  <c r="AC196" i="2"/>
  <c r="AC195" i="2"/>
  <c r="AC194" i="2"/>
  <c r="AC193" i="2"/>
  <c r="AC192" i="2"/>
  <c r="AC191" i="2"/>
  <c r="AC190" i="2"/>
  <c r="AA201" i="2"/>
  <c r="AA200" i="2"/>
  <c r="AA199" i="2"/>
  <c r="Z198" i="2"/>
  <c r="Z197" i="2"/>
  <c r="Z196" i="2"/>
  <c r="Z195" i="2"/>
  <c r="Z194" i="2"/>
  <c r="Z193" i="2"/>
  <c r="Z192" i="2"/>
  <c r="Z191" i="2"/>
  <c r="Z190" i="2"/>
  <c r="X200" i="2"/>
  <c r="X199" i="2"/>
  <c r="W198" i="2"/>
  <c r="W197" i="2"/>
  <c r="W196" i="2"/>
  <c r="W195" i="2"/>
  <c r="W194" i="2"/>
  <c r="W193" i="2"/>
  <c r="W192" i="2"/>
  <c r="W191" i="2"/>
  <c r="W190" i="2"/>
  <c r="U200" i="2"/>
  <c r="U199" i="2"/>
  <c r="T198" i="2"/>
  <c r="T197" i="2"/>
  <c r="T196" i="2"/>
  <c r="T195" i="2"/>
  <c r="T194" i="2"/>
  <c r="T193" i="2"/>
  <c r="T192" i="2"/>
  <c r="T191" i="2"/>
  <c r="T190" i="2"/>
  <c r="Q190" i="2"/>
  <c r="R190" i="2" s="1"/>
  <c r="R200" i="2"/>
  <c r="R199" i="2"/>
  <c r="Q198" i="2"/>
  <c r="Q197" i="2"/>
  <c r="Q196" i="2"/>
  <c r="Q195" i="2"/>
  <c r="Q194" i="2"/>
  <c r="Q193" i="2"/>
  <c r="Q192" i="2"/>
  <c r="Q191" i="2"/>
  <c r="O199" i="2"/>
  <c r="O200" i="2"/>
  <c r="N190" i="2"/>
  <c r="O190" i="2" s="1"/>
  <c r="N192" i="2"/>
  <c r="N193" i="2"/>
  <c r="N194" i="2"/>
  <c r="N195" i="2"/>
  <c r="N196" i="2"/>
  <c r="N197" i="2"/>
  <c r="N198" i="2"/>
  <c r="N191" i="2"/>
  <c r="FA29" i="7"/>
  <c r="BU43" i="7"/>
  <c r="AI43" i="7"/>
  <c r="ET43" i="7"/>
  <c r="CK43" i="7"/>
  <c r="DS23" i="7"/>
  <c r="DS25" i="7" s="1"/>
  <c r="DR23" i="7"/>
  <c r="DR25" i="7" s="1"/>
  <c r="DP43" i="7"/>
  <c r="DO43" i="7"/>
  <c r="DF43" i="7"/>
  <c r="DB15" i="7"/>
  <c r="W43" i="7"/>
  <c r="AE43" i="7"/>
  <c r="X22" i="7"/>
  <c r="X20" i="7" s="1"/>
  <c r="X21" i="7"/>
  <c r="X18" i="7"/>
  <c r="U43" i="7"/>
  <c r="AA43" i="7"/>
  <c r="AE44" i="7"/>
  <c r="T43" i="7"/>
  <c r="N43" i="7"/>
  <c r="J43" i="7"/>
  <c r="CK29" i="7"/>
  <c r="CK31" i="7"/>
  <c r="AI32" i="7"/>
  <c r="AI30" i="7"/>
  <c r="AH35" i="7"/>
  <c r="U35" i="7"/>
  <c r="T30" i="7"/>
  <c r="J44" i="7"/>
  <c r="N44" i="7"/>
  <c r="C44" i="7"/>
  <c r="C43" i="7"/>
  <c r="CE16" i="7"/>
  <c r="CE18" i="7" s="1"/>
  <c r="CC16" i="7"/>
  <c r="CC19" i="7" s="1"/>
  <c r="ES30" i="7"/>
  <c r="CV35" i="7"/>
  <c r="CU35" i="7"/>
  <c r="CS35" i="7"/>
  <c r="CV33" i="7"/>
  <c r="CU33" i="7"/>
  <c r="CV32" i="7"/>
  <c r="CS31" i="7"/>
  <c r="CV30" i="7"/>
  <c r="CU30" i="7"/>
  <c r="CU29" i="7"/>
  <c r="CR23" i="7"/>
  <c r="CS34" i="7" s="1"/>
  <c r="CS22" i="7"/>
  <c r="CS33" i="7" s="1"/>
  <c r="CS21" i="7"/>
  <c r="CR21" i="7"/>
  <c r="CV20" i="7"/>
  <c r="CV23" i="7" s="1"/>
  <c r="CU20" i="7"/>
  <c r="CT20" i="7"/>
  <c r="CS19" i="7"/>
  <c r="CR19" i="7"/>
  <c r="CS18" i="7"/>
  <c r="CS29" i="7" s="1"/>
  <c r="GR18" i="7"/>
  <c r="GR24" i="7"/>
  <c r="GR20" i="7"/>
  <c r="GR21" i="7"/>
  <c r="GQ24" i="7"/>
  <c r="GQ18" i="7"/>
  <c r="GQ20" i="7"/>
  <c r="GQ21" i="7"/>
  <c r="GQ19" i="7"/>
  <c r="GR19" i="7"/>
  <c r="BB16" i="7"/>
  <c r="BB20" i="7" s="1"/>
  <c r="BA16" i="7"/>
  <c r="BA18" i="7" s="1"/>
  <c r="AZ35" i="7"/>
  <c r="AZ16" i="7"/>
  <c r="AZ20" i="7" s="1"/>
  <c r="AY16" i="7"/>
  <c r="AY22" i="7" s="1"/>
  <c r="AX22" i="7"/>
  <c r="AW22" i="7"/>
  <c r="AV22" i="7"/>
  <c r="AX20" i="7"/>
  <c r="AW20" i="7"/>
  <c r="AV20" i="7"/>
  <c r="FI16" i="7"/>
  <c r="FI21" i="7" s="1"/>
  <c r="FH16" i="7"/>
  <c r="FH24" i="7" s="1"/>
  <c r="FG16" i="7"/>
  <c r="FG24" i="7" s="1"/>
  <c r="CM30" i="7"/>
  <c r="CM32" i="7"/>
  <c r="CM33" i="7"/>
  <c r="CM35" i="7"/>
  <c r="CM29" i="7"/>
  <c r="CM20" i="7"/>
  <c r="CM23" i="7" s="1"/>
  <c r="CL20" i="7"/>
  <c r="CL23" i="7" s="1"/>
  <c r="CK30" i="7"/>
  <c r="CK32" i="7"/>
  <c r="CK33" i="7"/>
  <c r="CK35" i="7"/>
  <c r="CJ23" i="7"/>
  <c r="CJ25" i="7" s="1"/>
  <c r="CK23" i="7"/>
  <c r="CK25" i="7" s="1"/>
  <c r="CP24" i="7"/>
  <c r="CP20" i="7"/>
  <c r="CP18" i="7"/>
  <c r="CP22" i="7"/>
  <c r="CP21" i="7"/>
  <c r="CP19" i="7"/>
  <c r="CO24" i="7"/>
  <c r="CO22" i="7"/>
  <c r="CO21" i="7"/>
  <c r="CO20" i="7"/>
  <c r="CO19" i="7"/>
  <c r="CN24" i="7"/>
  <c r="CN22" i="7"/>
  <c r="CN21" i="7"/>
  <c r="CN20" i="7"/>
  <c r="CN19" i="7"/>
  <c r="CN18" i="7"/>
  <c r="CA16" i="7"/>
  <c r="CA21" i="7" s="1"/>
  <c r="BY18" i="7"/>
  <c r="BY22" i="7"/>
  <c r="BX22" i="7"/>
  <c r="BY24" i="7"/>
  <c r="BX24" i="7"/>
  <c r="BY21" i="7"/>
  <c r="BX21" i="7"/>
  <c r="BY20" i="7"/>
  <c r="BX20" i="7"/>
  <c r="BY19" i="7"/>
  <c r="BX19" i="7"/>
  <c r="BX18" i="7"/>
  <c r="AT30" i="7"/>
  <c r="AU30" i="7"/>
  <c r="AT32" i="7"/>
  <c r="AU32" i="7"/>
  <c r="AT29" i="7"/>
  <c r="AU29" i="7"/>
  <c r="AU24" i="7"/>
  <c r="AT24" i="7"/>
  <c r="AS24" i="7"/>
  <c r="AU20" i="7"/>
  <c r="AS20" i="7"/>
  <c r="AU22" i="7"/>
  <c r="AT22" i="7"/>
  <c r="AS22" i="7"/>
  <c r="AQ23" i="7"/>
  <c r="AR23" i="7"/>
  <c r="AP23" i="7"/>
  <c r="AR18" i="7"/>
  <c r="AQ18" i="7"/>
  <c r="AP18" i="7"/>
  <c r="AR24" i="7"/>
  <c r="AQ24" i="7"/>
  <c r="AP24" i="7"/>
  <c r="AR20" i="7"/>
  <c r="AQ20" i="7"/>
  <c r="AP20" i="7"/>
  <c r="AR21" i="7"/>
  <c r="AQ21" i="7"/>
  <c r="AP21" i="7"/>
  <c r="AR19" i="7"/>
  <c r="AQ19" i="7"/>
  <c r="AP19" i="7"/>
  <c r="AO20" i="7"/>
  <c r="AN20" i="7"/>
  <c r="AM20" i="7"/>
  <c r="AO18" i="7"/>
  <c r="AN18" i="7"/>
  <c r="AO21" i="7"/>
  <c r="AN21" i="7"/>
  <c r="AM21" i="7"/>
  <c r="AO19" i="7"/>
  <c r="AN19" i="7"/>
  <c r="AM19" i="7"/>
  <c r="AO24" i="7"/>
  <c r="AN24" i="7"/>
  <c r="AM24" i="7"/>
  <c r="AM18" i="7"/>
  <c r="AO22" i="7"/>
  <c r="AN22" i="7"/>
  <c r="AM22" i="7"/>
  <c r="AK30" i="7"/>
  <c r="AL30" i="7"/>
  <c r="AK31" i="7"/>
  <c r="AL31" i="7"/>
  <c r="AK32" i="7"/>
  <c r="AL32" i="7"/>
  <c r="AK33" i="7"/>
  <c r="AL33" i="7"/>
  <c r="AK35" i="7"/>
  <c r="AL35" i="7"/>
  <c r="AI29" i="7"/>
  <c r="AL29" i="7"/>
  <c r="AK29" i="7"/>
  <c r="AK23" i="7"/>
  <c r="AJ23" i="7"/>
  <c r="AJ25" i="7" s="1"/>
  <c r="AL23" i="7"/>
  <c r="AL25" i="7" s="1"/>
  <c r="AH30" i="7"/>
  <c r="AH32" i="7"/>
  <c r="AI35" i="7"/>
  <c r="AH29" i="7"/>
  <c r="AI22" i="7"/>
  <c r="AH22" i="7"/>
  <c r="AG22" i="7"/>
  <c r="AI20" i="7"/>
  <c r="AH20" i="7"/>
  <c r="AG20" i="7"/>
  <c r="AF19" i="7"/>
  <c r="AE19" i="7"/>
  <c r="AF22" i="7"/>
  <c r="AE18" i="7"/>
  <c r="AE22" i="7"/>
  <c r="AE21" i="7"/>
  <c r="AF18" i="7"/>
  <c r="AF20" i="7"/>
  <c r="AE20" i="7"/>
  <c r="AF21" i="7"/>
  <c r="AF24" i="7"/>
  <c r="AE24" i="7"/>
  <c r="AD18" i="7"/>
  <c r="AC18" i="7"/>
  <c r="AD24" i="7"/>
  <c r="AC24" i="7"/>
  <c r="AD22" i="7"/>
  <c r="AC22" i="7"/>
  <c r="AD20" i="7"/>
  <c r="AC20" i="7"/>
  <c r="AD21" i="7"/>
  <c r="AC21" i="7"/>
  <c r="AC19" i="7"/>
  <c r="AD19" i="7"/>
  <c r="AB35" i="7"/>
  <c r="AA18" i="7"/>
  <c r="AB18" i="7"/>
  <c r="AB20" i="7"/>
  <c r="AB22" i="7"/>
  <c r="AB21" i="7"/>
  <c r="AB19" i="7"/>
  <c r="Z35" i="7"/>
  <c r="AA35" i="7"/>
  <c r="Z18" i="7"/>
  <c r="Y18" i="7"/>
  <c r="AA20" i="7"/>
  <c r="Z20" i="7"/>
  <c r="Y20" i="7"/>
  <c r="AA22" i="7"/>
  <c r="Z22" i="7"/>
  <c r="Y22" i="7"/>
  <c r="AA21" i="7"/>
  <c r="Z21" i="7"/>
  <c r="Y21" i="7"/>
  <c r="Y19" i="7"/>
  <c r="AA19" i="7"/>
  <c r="Z19" i="7"/>
  <c r="EH23" i="7"/>
  <c r="EH25" i="7" s="1"/>
  <c r="EG23" i="7"/>
  <c r="EG25" i="7" s="1"/>
  <c r="EH30" i="7"/>
  <c r="EH31" i="7"/>
  <c r="EH32" i="7"/>
  <c r="EH33" i="7"/>
  <c r="EH35" i="7"/>
  <c r="EH29" i="7"/>
  <c r="EF30" i="7"/>
  <c r="EF31" i="7"/>
  <c r="EF32" i="7"/>
  <c r="EF33" i="7"/>
  <c r="EF35" i="7"/>
  <c r="EF29" i="7"/>
  <c r="EF23" i="7"/>
  <c r="EF25" i="7" s="1"/>
  <c r="EE23" i="7"/>
  <c r="EE25" i="7" s="1"/>
  <c r="EB23" i="7"/>
  <c r="EB25" i="7" s="1"/>
  <c r="ED24" i="7"/>
  <c r="EC24" i="7"/>
  <c r="EC35" i="7" s="1"/>
  <c r="EC18" i="7"/>
  <c r="EC29" i="7" s="1"/>
  <c r="ED18" i="7"/>
  <c r="ED20" i="7"/>
  <c r="EC20" i="7"/>
  <c r="EC31" i="7" s="1"/>
  <c r="EC22" i="7"/>
  <c r="EC33" i="7" s="1"/>
  <c r="ED22" i="7"/>
  <c r="ED21" i="7"/>
  <c r="EC21" i="7"/>
  <c r="EC32" i="7" s="1"/>
  <c r="ED19" i="7"/>
  <c r="EC19" i="7"/>
  <c r="EC30" i="7" s="1"/>
  <c r="DZ16" i="7"/>
  <c r="DZ24" i="7" s="1"/>
  <c r="EA16" i="7"/>
  <c r="EA22" i="7" s="1"/>
  <c r="DX30" i="7"/>
  <c r="DX31" i="7"/>
  <c r="DX32" i="7"/>
  <c r="DX33" i="7"/>
  <c r="DX35" i="7"/>
  <c r="DX29" i="7"/>
  <c r="DX23" i="7"/>
  <c r="DX25" i="7" s="1"/>
  <c r="DW23" i="7"/>
  <c r="DW25" i="7" s="1"/>
  <c r="DV22" i="7"/>
  <c r="DV33" i="7" s="1"/>
  <c r="DV20" i="7"/>
  <c r="DV19" i="7"/>
  <c r="DV30" i="7" s="1"/>
  <c r="DV24" i="7"/>
  <c r="DV35" i="7" s="1"/>
  <c r="DU30" i="7"/>
  <c r="DU32" i="7"/>
  <c r="DV32" i="7"/>
  <c r="DU33" i="7"/>
  <c r="DU35" i="7"/>
  <c r="DU29" i="7"/>
  <c r="DV29" i="7"/>
  <c r="DU20" i="7"/>
  <c r="DU23" i="7" s="1"/>
  <c r="DT20" i="7"/>
  <c r="DT23" i="7" s="1"/>
  <c r="DQ20" i="7"/>
  <c r="DR31" i="7" s="1"/>
  <c r="DQ22" i="7"/>
  <c r="DR33" i="7" s="1"/>
  <c r="DQ24" i="7"/>
  <c r="DQ18" i="7"/>
  <c r="DR29" i="7" s="1"/>
  <c r="DQ21" i="7"/>
  <c r="DR32" i="7" s="1"/>
  <c r="DQ19" i="7"/>
  <c r="DR30" i="7" s="1"/>
  <c r="DS30" i="7"/>
  <c r="DS31" i="7"/>
  <c r="DS32" i="7"/>
  <c r="DS33" i="7"/>
  <c r="DS35" i="7"/>
  <c r="DS29" i="7"/>
  <c r="DP18" i="7"/>
  <c r="DP23" i="7" s="1"/>
  <c r="DO30" i="7"/>
  <c r="DP30" i="7"/>
  <c r="DO31" i="7"/>
  <c r="DP31" i="7"/>
  <c r="DO32" i="7"/>
  <c r="DP32" i="7"/>
  <c r="DO33" i="7"/>
  <c r="DP33" i="7"/>
  <c r="DO35" i="7"/>
  <c r="DP35" i="7"/>
  <c r="DO18" i="7"/>
  <c r="DN18" i="7"/>
  <c r="DN23" i="7" s="1"/>
  <c r="DN25" i="7" s="1"/>
  <c r="DM18" i="7"/>
  <c r="DM22" i="7"/>
  <c r="DL24" i="7"/>
  <c r="DM35" i="7" s="1"/>
  <c r="DK24" i="7"/>
  <c r="DJ24" i="7"/>
  <c r="DL21" i="7"/>
  <c r="DM32" i="7" s="1"/>
  <c r="DK21" i="7"/>
  <c r="DJ21" i="7"/>
  <c r="DL18" i="7"/>
  <c r="DK18" i="7"/>
  <c r="DJ18" i="7"/>
  <c r="DL20" i="7"/>
  <c r="DM31" i="7" s="1"/>
  <c r="DK20" i="7"/>
  <c r="DJ20" i="7"/>
  <c r="DL22" i="7"/>
  <c r="DK22" i="7"/>
  <c r="DJ22" i="7"/>
  <c r="DJ19" i="7"/>
  <c r="DK19" i="7"/>
  <c r="DL19" i="7"/>
  <c r="DM30" i="7" s="1"/>
  <c r="BW18" i="7"/>
  <c r="BV19" i="7"/>
  <c r="BP18" i="7"/>
  <c r="BO18" i="7"/>
  <c r="BP20" i="7"/>
  <c r="BO20" i="7"/>
  <c r="BP22" i="7"/>
  <c r="BO22" i="7"/>
  <c r="BP24" i="7"/>
  <c r="BO24" i="7"/>
  <c r="BP21" i="7"/>
  <c r="BO21" i="7"/>
  <c r="BP19" i="7"/>
  <c r="BO19" i="7"/>
  <c r="V24" i="7"/>
  <c r="W20" i="7"/>
  <c r="W18" i="7"/>
  <c r="W29" i="7" s="1"/>
  <c r="W22" i="7"/>
  <c r="W21" i="7"/>
  <c r="W32" i="7" s="1"/>
  <c r="W24" i="7"/>
  <c r="V20" i="7"/>
  <c r="V22" i="7"/>
  <c r="W30" i="7"/>
  <c r="X30" i="7"/>
  <c r="K30" i="7"/>
  <c r="L24" i="7"/>
  <c r="L35" i="7" s="1"/>
  <c r="L18" i="7"/>
  <c r="L29" i="7" s="1"/>
  <c r="L22" i="7"/>
  <c r="L21" i="7"/>
  <c r="L32" i="7" s="1"/>
  <c r="L20" i="7"/>
  <c r="L19" i="7"/>
  <c r="L30" i="7" s="1"/>
  <c r="J30" i="7"/>
  <c r="J32" i="7"/>
  <c r="K32" i="7"/>
  <c r="K35" i="7"/>
  <c r="J29" i="7"/>
  <c r="K29" i="7"/>
  <c r="I24" i="7"/>
  <c r="J35" i="7" s="1"/>
  <c r="K20" i="7"/>
  <c r="J20" i="7"/>
  <c r="K22" i="7"/>
  <c r="J22" i="7"/>
  <c r="I22" i="7"/>
  <c r="I20" i="7"/>
  <c r="FE18" i="7"/>
  <c r="FD18" i="7"/>
  <c r="FE20" i="7"/>
  <c r="FD20" i="7"/>
  <c r="FE24" i="7"/>
  <c r="FD24" i="7"/>
  <c r="FE22" i="7"/>
  <c r="FD22" i="7"/>
  <c r="FE21" i="7"/>
  <c r="FD21" i="7"/>
  <c r="EW19" i="7"/>
  <c r="EY24" i="7"/>
  <c r="EY20" i="7"/>
  <c r="EY19" i="7"/>
  <c r="EW18" i="7"/>
  <c r="EV18" i="7"/>
  <c r="EW24" i="7"/>
  <c r="EV24" i="7"/>
  <c r="EW20" i="7"/>
  <c r="EV20" i="7"/>
  <c r="EW22" i="7"/>
  <c r="EV22" i="7"/>
  <c r="EV21" i="7"/>
  <c r="EW21" i="7"/>
  <c r="EY32" i="7" s="1"/>
  <c r="EV19" i="7"/>
  <c r="ES29" i="7"/>
  <c r="ES31" i="7"/>
  <c r="ES32" i="7"/>
  <c r="ES33" i="7"/>
  <c r="ES35" i="7"/>
  <c r="ET29" i="7"/>
  <c r="ER23" i="7"/>
  <c r="ER25" i="7" s="1"/>
  <c r="ES23" i="7"/>
  <c r="ES25" i="7" s="1"/>
  <c r="ET30" i="7"/>
  <c r="EU30" i="7"/>
  <c r="ET31" i="7"/>
  <c r="EU31" i="7"/>
  <c r="ET32" i="7"/>
  <c r="EU32" i="7"/>
  <c r="ET33" i="7"/>
  <c r="EU33" i="7"/>
  <c r="ET35" i="7"/>
  <c r="EU35" i="7"/>
  <c r="EU29" i="7"/>
  <c r="ET23" i="7"/>
  <c r="ET25" i="7" s="1"/>
  <c r="EU23" i="7"/>
  <c r="EU25" i="7" s="1"/>
  <c r="DI18" i="7"/>
  <c r="DH18" i="7"/>
  <c r="DH20" i="7"/>
  <c r="DI20" i="7"/>
  <c r="DI22" i="7"/>
  <c r="DH22" i="7"/>
  <c r="DI21" i="7"/>
  <c r="DH21" i="7"/>
  <c r="DH24" i="7"/>
  <c r="DI24" i="7"/>
  <c r="DI19" i="7"/>
  <c r="DH19" i="7"/>
  <c r="DG24" i="7"/>
  <c r="DF24" i="7"/>
  <c r="DE24" i="7"/>
  <c r="DG18" i="7"/>
  <c r="DF18" i="7"/>
  <c r="DE18" i="7"/>
  <c r="DG20" i="7"/>
  <c r="DE20" i="7"/>
  <c r="DF20" i="7"/>
  <c r="DG22" i="7"/>
  <c r="DF22" i="7"/>
  <c r="DE22" i="7"/>
  <c r="DG21" i="7"/>
  <c r="DF21" i="7"/>
  <c r="DE21" i="7"/>
  <c r="DG19" i="7"/>
  <c r="DF19" i="7"/>
  <c r="DE19" i="7"/>
  <c r="DD31" i="7"/>
  <c r="DD32" i="7"/>
  <c r="DD24" i="7"/>
  <c r="DD22" i="7"/>
  <c r="DC24" i="7"/>
  <c r="DC22" i="7"/>
  <c r="DC19" i="7"/>
  <c r="DD19" i="7"/>
  <c r="DD18" i="7"/>
  <c r="DC18" i="7"/>
  <c r="DB37" i="7"/>
  <c r="DB18" i="7"/>
  <c r="DA18" i="7"/>
  <c r="DB24" i="7"/>
  <c r="DA24" i="7"/>
  <c r="DB20" i="7"/>
  <c r="DA20" i="7"/>
  <c r="DB22" i="7"/>
  <c r="DA22" i="7"/>
  <c r="DB21" i="7"/>
  <c r="DB19" i="7"/>
  <c r="DA21" i="7"/>
  <c r="DA19" i="7"/>
  <c r="FV24" i="7"/>
  <c r="FU24" i="7"/>
  <c r="FV20" i="7"/>
  <c r="FU20" i="7"/>
  <c r="FV22" i="7"/>
  <c r="FU22" i="7"/>
  <c r="FV18" i="7"/>
  <c r="FU18" i="7"/>
  <c r="FV21" i="7"/>
  <c r="FU21" i="7"/>
  <c r="FV19" i="7"/>
  <c r="FU19" i="7"/>
  <c r="FS16" i="7"/>
  <c r="FS22" i="7" s="1"/>
  <c r="FR16" i="7"/>
  <c r="FR18" i="7" s="1"/>
  <c r="FA30" i="7"/>
  <c r="FA31" i="7"/>
  <c r="FA32" i="7"/>
  <c r="FA33" i="7"/>
  <c r="FA35" i="7"/>
  <c r="CZ37" i="7"/>
  <c r="CZ30" i="7"/>
  <c r="CZ32" i="7"/>
  <c r="CZ33" i="7"/>
  <c r="CZ35" i="7"/>
  <c r="CZ29" i="7"/>
  <c r="U30" i="7"/>
  <c r="T31" i="7"/>
  <c r="U31" i="7"/>
  <c r="T32" i="7"/>
  <c r="U32" i="7"/>
  <c r="T35" i="7"/>
  <c r="T29" i="7"/>
  <c r="U29" i="7"/>
  <c r="Q30" i="7"/>
  <c r="Q31" i="7"/>
  <c r="Q32" i="7"/>
  <c r="Q33" i="7"/>
  <c r="Q35" i="7"/>
  <c r="Q29" i="7"/>
  <c r="N29" i="7"/>
  <c r="N30" i="7"/>
  <c r="N32" i="7"/>
  <c r="N33" i="7"/>
  <c r="N35" i="7"/>
  <c r="H37" i="7"/>
  <c r="G30" i="7"/>
  <c r="H30" i="7"/>
  <c r="G32" i="7"/>
  <c r="H32" i="7"/>
  <c r="G33" i="7"/>
  <c r="H33" i="7"/>
  <c r="G35" i="7"/>
  <c r="H35" i="7"/>
  <c r="G29" i="7"/>
  <c r="H29" i="7"/>
  <c r="E37" i="7"/>
  <c r="E30" i="7"/>
  <c r="E32" i="7"/>
  <c r="E33" i="7"/>
  <c r="E35" i="7"/>
  <c r="E29" i="7"/>
  <c r="C30" i="7"/>
  <c r="C32" i="7"/>
  <c r="C33" i="7"/>
  <c r="C35" i="7"/>
  <c r="C29" i="7"/>
  <c r="GU24" i="7"/>
  <c r="GU21" i="7"/>
  <c r="GU20" i="7"/>
  <c r="GU19" i="7"/>
  <c r="GU18" i="7"/>
  <c r="GT24" i="7"/>
  <c r="GT21" i="7"/>
  <c r="GT20" i="7"/>
  <c r="GT22" i="7" s="1"/>
  <c r="GT19" i="7"/>
  <c r="GT18" i="7"/>
  <c r="R24" i="7"/>
  <c r="R19" i="7"/>
  <c r="R22" i="7"/>
  <c r="R21" i="7"/>
  <c r="R20" i="7"/>
  <c r="R18" i="7"/>
  <c r="U22" i="7"/>
  <c r="U23" i="7" s="1"/>
  <c r="U25" i="7" s="1"/>
  <c r="T22" i="7"/>
  <c r="T23" i="7" s="1"/>
  <c r="T25" i="7" s="1"/>
  <c r="S22" i="7"/>
  <c r="S23" i="7" s="1"/>
  <c r="S25" i="7" s="1"/>
  <c r="BS24" i="7"/>
  <c r="BR24" i="7"/>
  <c r="BQ24" i="7"/>
  <c r="BS18" i="7"/>
  <c r="BR18" i="7"/>
  <c r="BQ18" i="7"/>
  <c r="BS22" i="7"/>
  <c r="BR22" i="7"/>
  <c r="BQ22" i="7"/>
  <c r="BS20" i="7"/>
  <c r="BR20" i="7"/>
  <c r="BQ20" i="7"/>
  <c r="BS21" i="7"/>
  <c r="BR21" i="7"/>
  <c r="BQ21" i="7"/>
  <c r="BS19" i="7"/>
  <c r="BR19" i="7"/>
  <c r="BQ19" i="7"/>
  <c r="BJ24" i="7"/>
  <c r="BM24" i="7"/>
  <c r="BL24" i="7"/>
  <c r="BK24" i="7"/>
  <c r="BM18" i="7"/>
  <c r="BL18" i="7"/>
  <c r="BK18" i="7"/>
  <c r="BJ18" i="7"/>
  <c r="BL20" i="7"/>
  <c r="BM20" i="7"/>
  <c r="BK20" i="7"/>
  <c r="BJ20" i="7"/>
  <c r="BM22" i="7"/>
  <c r="BL22" i="7"/>
  <c r="BK22" i="7"/>
  <c r="BJ22" i="7"/>
  <c r="BM21" i="7"/>
  <c r="BL21" i="7"/>
  <c r="BK21" i="7"/>
  <c r="BJ21" i="7"/>
  <c r="BM19" i="7"/>
  <c r="BL19" i="7"/>
  <c r="BK19" i="7"/>
  <c r="BJ19" i="7"/>
  <c r="FA23" i="7"/>
  <c r="FA25" i="7" s="1"/>
  <c r="EZ23" i="7"/>
  <c r="EZ25" i="7" s="1"/>
  <c r="EO19" i="7"/>
  <c r="EP19" i="7"/>
  <c r="EQ19" i="7"/>
  <c r="EO21" i="7"/>
  <c r="EP21" i="7"/>
  <c r="EQ21" i="7"/>
  <c r="EO22" i="7"/>
  <c r="EP22" i="7"/>
  <c r="EQ22" i="7"/>
  <c r="EO18" i="7"/>
  <c r="EP18" i="7"/>
  <c r="EQ18" i="7"/>
  <c r="EO20" i="7"/>
  <c r="EP20" i="7"/>
  <c r="EQ20" i="7"/>
  <c r="EO23" i="7"/>
  <c r="EP23" i="7"/>
  <c r="EQ23" i="7"/>
  <c r="EL21" i="7"/>
  <c r="EL24" i="7"/>
  <c r="EL22" i="7"/>
  <c r="EL20" i="7"/>
  <c r="EL19" i="7"/>
  <c r="EL18" i="7"/>
  <c r="EN21" i="7"/>
  <c r="EN18" i="7"/>
  <c r="EM18" i="7"/>
  <c r="EM19" i="7"/>
  <c r="EM21" i="7"/>
  <c r="EN22" i="7"/>
  <c r="EN20" i="7" s="1"/>
  <c r="EM22" i="7"/>
  <c r="EM20" i="7" s="1"/>
  <c r="EM24" i="7"/>
  <c r="EM35" i="7" s="1"/>
  <c r="EN19" i="7"/>
  <c r="H20" i="7"/>
  <c r="H23" i="7" s="1"/>
  <c r="G20" i="7"/>
  <c r="G23" i="7" s="1"/>
  <c r="F20" i="7"/>
  <c r="F23" i="7" s="1"/>
  <c r="CY20" i="7"/>
  <c r="CZ20" i="7"/>
  <c r="CZ23" i="7" s="1"/>
  <c r="P23" i="7"/>
  <c r="P25" i="7" s="1"/>
  <c r="Q25" i="7"/>
  <c r="BI18" i="7"/>
  <c r="BH18" i="7"/>
  <c r="BG18" i="7"/>
  <c r="BI24" i="7"/>
  <c r="BH24" i="7"/>
  <c r="BG24" i="7"/>
  <c r="BH20" i="7"/>
  <c r="BI20" i="7"/>
  <c r="BG20" i="7"/>
  <c r="BI22" i="7"/>
  <c r="BH22" i="7"/>
  <c r="BG22" i="7"/>
  <c r="BI21" i="7"/>
  <c r="BH21" i="7"/>
  <c r="BG21" i="7"/>
  <c r="BI19" i="7"/>
  <c r="BH19" i="7"/>
  <c r="BG19" i="7"/>
  <c r="C20" i="7"/>
  <c r="C23" i="7" s="1"/>
  <c r="C25" i="7" s="1"/>
  <c r="N20" i="7"/>
  <c r="M20" i="7"/>
  <c r="E20" i="7"/>
  <c r="E23" i="7" s="1"/>
  <c r="D20" i="7"/>
  <c r="B25" i="7"/>
  <c r="E3" i="5"/>
  <c r="C8" i="6"/>
  <c r="B8" i="6"/>
  <c r="C11" i="5"/>
  <c r="C7" i="6"/>
  <c r="C6" i="6"/>
  <c r="C5" i="6"/>
  <c r="C4" i="6"/>
  <c r="AT28" i="3"/>
  <c r="AS28" i="3"/>
  <c r="AU27" i="3"/>
  <c r="AV27" i="3" s="1"/>
  <c r="AU26" i="3"/>
  <c r="AV26" i="3" s="1"/>
  <c r="AU25" i="3"/>
  <c r="AV25" i="3" s="1"/>
  <c r="AU24" i="3"/>
  <c r="AV24" i="3" s="1"/>
  <c r="AU23" i="3"/>
  <c r="AV23" i="3" s="1"/>
  <c r="AU22" i="3"/>
  <c r="AV22" i="3" s="1"/>
  <c r="AU21" i="3"/>
  <c r="AV21" i="3" s="1"/>
  <c r="AU20" i="3"/>
  <c r="AV20" i="3" s="1"/>
  <c r="AU19" i="3"/>
  <c r="AV19" i="3" s="1"/>
  <c r="AS13" i="3"/>
  <c r="AT13" i="3"/>
  <c r="AU12" i="3"/>
  <c r="AV12" i="3" s="1"/>
  <c r="AU11" i="3"/>
  <c r="AV11" i="3" s="1"/>
  <c r="AU10" i="3"/>
  <c r="AV10" i="3" s="1"/>
  <c r="AU9" i="3"/>
  <c r="AV9" i="3" s="1"/>
  <c r="AU8" i="3"/>
  <c r="AV8" i="3" s="1"/>
  <c r="AU7" i="3"/>
  <c r="AV7" i="3" s="1"/>
  <c r="AU6" i="3"/>
  <c r="AV6" i="3" s="1"/>
  <c r="AU5" i="3"/>
  <c r="AV5" i="3" s="1"/>
  <c r="AU4" i="3"/>
  <c r="AV4" i="3" s="1"/>
  <c r="AL13" i="3"/>
  <c r="AP13" i="3"/>
  <c r="C12" i="5"/>
  <c r="AO13" i="3"/>
  <c r="AQ12" i="3"/>
  <c r="AR12" i="3" s="1"/>
  <c r="AQ11" i="3"/>
  <c r="AR11" i="3" s="1"/>
  <c r="AQ10" i="3"/>
  <c r="AR10" i="3" s="1"/>
  <c r="AQ9" i="3"/>
  <c r="AR9" i="3" s="1"/>
  <c r="AQ8" i="3"/>
  <c r="AR8" i="3" s="1"/>
  <c r="AQ7" i="3"/>
  <c r="AR7" i="3" s="1"/>
  <c r="AQ6" i="3"/>
  <c r="AR6" i="3" s="1"/>
  <c r="AQ5" i="3"/>
  <c r="AR5" i="3" s="1"/>
  <c r="AQ4" i="3"/>
  <c r="AR4" i="3" s="1"/>
  <c r="X9" i="1"/>
  <c r="C27" i="5"/>
  <c r="B27" i="5"/>
  <c r="C5" i="5"/>
  <c r="C7" i="5"/>
  <c r="C4" i="5"/>
  <c r="C8" i="5"/>
  <c r="C10" i="5"/>
  <c r="C13" i="5"/>
  <c r="C9" i="5"/>
  <c r="C6" i="5"/>
  <c r="B12" i="4"/>
  <c r="C12" i="4"/>
  <c r="C5" i="4"/>
  <c r="C6" i="4"/>
  <c r="C7" i="4"/>
  <c r="C8" i="4"/>
  <c r="C9" i="4"/>
  <c r="C10" i="4"/>
  <c r="C11" i="4"/>
  <c r="C4" i="4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N211" i="1"/>
  <c r="M210" i="1"/>
  <c r="AH210" i="1"/>
  <c r="AD210" i="1"/>
  <c r="N210" i="1"/>
  <c r="Y210" i="1"/>
  <c r="U210" i="1"/>
  <c r="T210" i="1"/>
  <c r="D80" i="3"/>
  <c r="C80" i="3"/>
  <c r="E79" i="3"/>
  <c r="F79" i="3" s="1"/>
  <c r="E78" i="3"/>
  <c r="F78" i="3" s="1"/>
  <c r="F77" i="3"/>
  <c r="E77" i="3"/>
  <c r="F76" i="3"/>
  <c r="E76" i="3"/>
  <c r="E75" i="3"/>
  <c r="F75" i="3" s="1"/>
  <c r="F74" i="3"/>
  <c r="E74" i="3"/>
  <c r="E73" i="3"/>
  <c r="F73" i="3" s="1"/>
  <c r="F72" i="3"/>
  <c r="E72" i="3"/>
  <c r="F71" i="3"/>
  <c r="E71" i="3"/>
  <c r="AG67" i="3"/>
  <c r="AF67" i="3"/>
  <c r="AH66" i="3"/>
  <c r="AI66" i="3" s="1"/>
  <c r="AH65" i="3"/>
  <c r="AI65" i="3" s="1"/>
  <c r="AH64" i="3"/>
  <c r="AI64" i="3" s="1"/>
  <c r="AH63" i="3"/>
  <c r="AI63" i="3" s="1"/>
  <c r="AH62" i="3"/>
  <c r="AI62" i="3" s="1"/>
  <c r="AH61" i="3"/>
  <c r="AI61" i="3" s="1"/>
  <c r="AH60" i="3"/>
  <c r="AI60" i="3" s="1"/>
  <c r="AH59" i="3"/>
  <c r="AI59" i="3" s="1"/>
  <c r="AH58" i="3"/>
  <c r="AI58" i="3" s="1"/>
  <c r="M207" i="1"/>
  <c r="M208" i="1"/>
  <c r="N208" i="1"/>
  <c r="M206" i="1"/>
  <c r="AM207" i="1"/>
  <c r="AM208" i="1" s="1"/>
  <c r="AM205" i="1"/>
  <c r="AM206" i="1" s="1"/>
  <c r="M205" i="1"/>
  <c r="Y207" i="1"/>
  <c r="Y205" i="1"/>
  <c r="Y208" i="1"/>
  <c r="Z208" i="1"/>
  <c r="AA208" i="1"/>
  <c r="Y206" i="1"/>
  <c r="Z206" i="1"/>
  <c r="AA206" i="1"/>
  <c r="U207" i="1"/>
  <c r="U205" i="1"/>
  <c r="O208" i="1"/>
  <c r="P208" i="1"/>
  <c r="Q208" i="1"/>
  <c r="R208" i="1"/>
  <c r="S208" i="1"/>
  <c r="T208" i="1"/>
  <c r="U208" i="1"/>
  <c r="V208" i="1"/>
  <c r="W208" i="1"/>
  <c r="X208" i="1"/>
  <c r="AB208" i="1"/>
  <c r="AC208" i="1"/>
  <c r="AD208" i="1"/>
  <c r="AE208" i="1"/>
  <c r="AF208" i="1"/>
  <c r="AG208" i="1"/>
  <c r="AH208" i="1"/>
  <c r="AI208" i="1"/>
  <c r="AJ208" i="1"/>
  <c r="AK208" i="1"/>
  <c r="AL208" i="1"/>
  <c r="O206" i="1"/>
  <c r="P206" i="1"/>
  <c r="Q206" i="1"/>
  <c r="R206" i="1"/>
  <c r="S206" i="1"/>
  <c r="T206" i="1"/>
  <c r="U206" i="1"/>
  <c r="V206" i="1"/>
  <c r="W206" i="1"/>
  <c r="X206" i="1"/>
  <c r="AB206" i="1"/>
  <c r="AC206" i="1"/>
  <c r="AD206" i="1"/>
  <c r="AE206" i="1"/>
  <c r="AF206" i="1"/>
  <c r="AG206" i="1"/>
  <c r="AH206" i="1"/>
  <c r="AI206" i="1"/>
  <c r="AJ206" i="1"/>
  <c r="AK206" i="1"/>
  <c r="AL206" i="1"/>
  <c r="N206" i="1"/>
  <c r="AG54" i="3"/>
  <c r="AF54" i="3"/>
  <c r="AH53" i="3"/>
  <c r="AI53" i="3" s="1"/>
  <c r="AH52" i="3"/>
  <c r="AI52" i="3" s="1"/>
  <c r="AH51" i="3"/>
  <c r="AI51" i="3" s="1"/>
  <c r="AH50" i="3"/>
  <c r="AI50" i="3" s="1"/>
  <c r="AH49" i="3"/>
  <c r="AI49" i="3" s="1"/>
  <c r="AH48" i="3"/>
  <c r="AI48" i="3" s="1"/>
  <c r="AH47" i="3"/>
  <c r="AI47" i="3" s="1"/>
  <c r="AH46" i="3"/>
  <c r="AI46" i="3" s="1"/>
  <c r="AH45" i="3"/>
  <c r="AI45" i="3" s="1"/>
  <c r="AC67" i="3"/>
  <c r="AB67" i="3"/>
  <c r="AD66" i="3"/>
  <c r="AE66" i="3" s="1"/>
  <c r="AD65" i="3"/>
  <c r="AE65" i="3" s="1"/>
  <c r="AD64" i="3"/>
  <c r="AE64" i="3" s="1"/>
  <c r="AD63" i="3"/>
  <c r="AE63" i="3" s="1"/>
  <c r="AD62" i="3"/>
  <c r="AE62" i="3" s="1"/>
  <c r="AD61" i="3"/>
  <c r="AE61" i="3" s="1"/>
  <c r="AD60" i="3"/>
  <c r="AE60" i="3" s="1"/>
  <c r="AD59" i="3"/>
  <c r="AE59" i="3" s="1"/>
  <c r="AD58" i="3"/>
  <c r="AE58" i="3" s="1"/>
  <c r="AC54" i="3"/>
  <c r="AB54" i="3"/>
  <c r="AD53" i="3"/>
  <c r="AE53" i="3" s="1"/>
  <c r="AD52" i="3"/>
  <c r="AE52" i="3" s="1"/>
  <c r="AD51" i="3"/>
  <c r="AE51" i="3" s="1"/>
  <c r="AD50" i="3"/>
  <c r="AE50" i="3" s="1"/>
  <c r="AD49" i="3"/>
  <c r="AE49" i="3" s="1"/>
  <c r="AD48" i="3"/>
  <c r="AE48" i="3" s="1"/>
  <c r="AD47" i="3"/>
  <c r="AE47" i="3" s="1"/>
  <c r="AD46" i="3"/>
  <c r="AE46" i="3" s="1"/>
  <c r="AD45" i="3"/>
  <c r="AE45" i="3" s="1"/>
  <c r="Y203" i="1"/>
  <c r="Z203" i="1"/>
  <c r="AA203" i="1"/>
  <c r="AB203" i="1"/>
  <c r="Y201" i="1"/>
  <c r="Z201" i="1"/>
  <c r="AA201" i="1"/>
  <c r="AB201" i="1"/>
  <c r="Y200" i="1"/>
  <c r="M201" i="1"/>
  <c r="AM200" i="1"/>
  <c r="AH200" i="1"/>
  <c r="M200" i="1"/>
  <c r="U201" i="1"/>
  <c r="N202" i="1"/>
  <c r="N203" i="1" s="1"/>
  <c r="M203" i="1" s="1"/>
  <c r="N201" i="1"/>
  <c r="U202" i="1"/>
  <c r="U203" i="1" s="1"/>
  <c r="U200" i="1"/>
  <c r="T202" i="1"/>
  <c r="T200" i="1"/>
  <c r="N200" i="1"/>
  <c r="Y202" i="1"/>
  <c r="AM202" i="1"/>
  <c r="AM201" i="1"/>
  <c r="AH202" i="1"/>
  <c r="AH201" i="1"/>
  <c r="AI200" i="1"/>
  <c r="AI201" i="1" s="1"/>
  <c r="T203" i="1"/>
  <c r="T201" i="1"/>
  <c r="O203" i="1"/>
  <c r="P203" i="1"/>
  <c r="Q203" i="1"/>
  <c r="R203" i="1"/>
  <c r="S203" i="1"/>
  <c r="V203" i="1"/>
  <c r="W203" i="1"/>
  <c r="X203" i="1"/>
  <c r="AC203" i="1"/>
  <c r="AD203" i="1"/>
  <c r="AE203" i="1"/>
  <c r="AF203" i="1"/>
  <c r="AG203" i="1"/>
  <c r="AH203" i="1"/>
  <c r="AI203" i="1"/>
  <c r="AJ203" i="1"/>
  <c r="AK203" i="1"/>
  <c r="AL203" i="1"/>
  <c r="AM203" i="1"/>
  <c r="O201" i="1"/>
  <c r="P201" i="1"/>
  <c r="Q201" i="1"/>
  <c r="R201" i="1"/>
  <c r="S201" i="1"/>
  <c r="V201" i="1"/>
  <c r="W201" i="1"/>
  <c r="X201" i="1"/>
  <c r="AC201" i="1"/>
  <c r="AD201" i="1"/>
  <c r="AE201" i="1"/>
  <c r="AF201" i="1"/>
  <c r="AG201" i="1"/>
  <c r="AJ201" i="1"/>
  <c r="AK201" i="1"/>
  <c r="AL201" i="1"/>
  <c r="Y67" i="3"/>
  <c r="X67" i="3"/>
  <c r="Z66" i="3"/>
  <c r="AA66" i="3" s="1"/>
  <c r="Z65" i="3"/>
  <c r="AA65" i="3" s="1"/>
  <c r="Z64" i="3"/>
  <c r="AA64" i="3" s="1"/>
  <c r="Z63" i="3"/>
  <c r="AA63" i="3" s="1"/>
  <c r="Z62" i="3"/>
  <c r="AA62" i="3" s="1"/>
  <c r="Z61" i="3"/>
  <c r="AA61" i="3" s="1"/>
  <c r="Z60" i="3"/>
  <c r="AA60" i="3" s="1"/>
  <c r="Z59" i="3"/>
  <c r="AA59" i="3" s="1"/>
  <c r="Z58" i="3"/>
  <c r="AA58" i="3" s="1"/>
  <c r="M197" i="1"/>
  <c r="AH198" i="1"/>
  <c r="AM197" i="1"/>
  <c r="AM198" i="1" s="1"/>
  <c r="X197" i="1"/>
  <c r="X198" i="1" s="1"/>
  <c r="U197" i="1"/>
  <c r="U198" i="1" s="1"/>
  <c r="O198" i="1"/>
  <c r="P198" i="1"/>
  <c r="Q198" i="1"/>
  <c r="R198" i="1"/>
  <c r="S198" i="1"/>
  <c r="T198" i="1"/>
  <c r="V198" i="1"/>
  <c r="W198" i="1"/>
  <c r="Y198" i="1"/>
  <c r="Z198" i="1"/>
  <c r="AA198" i="1"/>
  <c r="AB198" i="1"/>
  <c r="AC198" i="1"/>
  <c r="AD198" i="1"/>
  <c r="AE198" i="1"/>
  <c r="AF198" i="1"/>
  <c r="AG198" i="1"/>
  <c r="AI198" i="1"/>
  <c r="AJ198" i="1"/>
  <c r="AK198" i="1"/>
  <c r="AL198" i="1"/>
  <c r="N198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M196" i="1" s="1"/>
  <c r="AE196" i="1"/>
  <c r="AF196" i="1"/>
  <c r="AG196" i="1"/>
  <c r="AH196" i="1"/>
  <c r="AI196" i="1"/>
  <c r="AJ196" i="1"/>
  <c r="AK196" i="1"/>
  <c r="AL196" i="1"/>
  <c r="AM196" i="1"/>
  <c r="N196" i="1"/>
  <c r="M192" i="1"/>
  <c r="AM195" i="1"/>
  <c r="M195" i="1" s="1"/>
  <c r="M184" i="1"/>
  <c r="X195" i="1"/>
  <c r="U195" i="1"/>
  <c r="Y54" i="3"/>
  <c r="X54" i="3"/>
  <c r="AA53" i="3"/>
  <c r="Z53" i="3"/>
  <c r="Z52" i="3"/>
  <c r="AA52" i="3" s="1"/>
  <c r="Z51" i="3"/>
  <c r="AA51" i="3" s="1"/>
  <c r="Z50" i="3"/>
  <c r="AA50" i="3" s="1"/>
  <c r="AA49" i="3"/>
  <c r="Z49" i="3"/>
  <c r="Z48" i="3"/>
  <c r="AA48" i="3" s="1"/>
  <c r="AA47" i="3"/>
  <c r="Z47" i="3"/>
  <c r="Z46" i="3"/>
  <c r="AA46" i="3" s="1"/>
  <c r="Z45" i="3"/>
  <c r="Z54" i="3" s="1"/>
  <c r="Y192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T192" i="1"/>
  <c r="AH192" i="1"/>
  <c r="AM192" i="1"/>
  <c r="AD192" i="1"/>
  <c r="U192" i="1"/>
  <c r="N193" i="1"/>
  <c r="N192" i="1"/>
  <c r="U54" i="3"/>
  <c r="T54" i="3"/>
  <c r="V53" i="3"/>
  <c r="W53" i="3" s="1"/>
  <c r="V52" i="3"/>
  <c r="W52" i="3" s="1"/>
  <c r="V51" i="3"/>
  <c r="W51" i="3" s="1"/>
  <c r="V50" i="3"/>
  <c r="W50" i="3" s="1"/>
  <c r="V49" i="3"/>
  <c r="W49" i="3" s="1"/>
  <c r="V48" i="3"/>
  <c r="W48" i="3" s="1"/>
  <c r="V47" i="3"/>
  <c r="W47" i="3" s="1"/>
  <c r="V46" i="3"/>
  <c r="W46" i="3" s="1"/>
  <c r="V45" i="3"/>
  <c r="Y188" i="1"/>
  <c r="Y189" i="1"/>
  <c r="Y190" i="1" s="1"/>
  <c r="Q67" i="3"/>
  <c r="P67" i="3"/>
  <c r="R66" i="3"/>
  <c r="S66" i="3" s="1"/>
  <c r="R65" i="3"/>
  <c r="S65" i="3" s="1"/>
  <c r="R64" i="3"/>
  <c r="S64" i="3" s="1"/>
  <c r="R63" i="3"/>
  <c r="S63" i="3" s="1"/>
  <c r="R62" i="3"/>
  <c r="S62" i="3" s="1"/>
  <c r="R61" i="3"/>
  <c r="S61" i="3" s="1"/>
  <c r="R60" i="3"/>
  <c r="S60" i="3" s="1"/>
  <c r="R59" i="3"/>
  <c r="S59" i="3" s="1"/>
  <c r="R58" i="3"/>
  <c r="S58" i="3" s="1"/>
  <c r="Q54" i="3"/>
  <c r="P54" i="3"/>
  <c r="R53" i="3"/>
  <c r="S53" i="3" s="1"/>
  <c r="R52" i="3"/>
  <c r="S52" i="3" s="1"/>
  <c r="R51" i="3"/>
  <c r="S51" i="3" s="1"/>
  <c r="R50" i="3"/>
  <c r="S50" i="3" s="1"/>
  <c r="R49" i="3"/>
  <c r="S49" i="3" s="1"/>
  <c r="R48" i="3"/>
  <c r="S48" i="3" s="1"/>
  <c r="R47" i="3"/>
  <c r="S47" i="3" s="1"/>
  <c r="R46" i="3"/>
  <c r="S46" i="3" s="1"/>
  <c r="R45" i="3"/>
  <c r="S45" i="3" s="1"/>
  <c r="O190" i="1"/>
  <c r="P190" i="1"/>
  <c r="Q190" i="1"/>
  <c r="R190" i="1"/>
  <c r="S190" i="1"/>
  <c r="T190" i="1"/>
  <c r="U190" i="1"/>
  <c r="V190" i="1"/>
  <c r="W190" i="1"/>
  <c r="X190" i="1"/>
  <c r="Z190" i="1"/>
  <c r="AA190" i="1"/>
  <c r="AB190" i="1"/>
  <c r="AC190" i="1"/>
  <c r="AD190" i="1"/>
  <c r="AE190" i="1"/>
  <c r="AF190" i="1"/>
  <c r="AG190" i="1"/>
  <c r="AH190" i="1"/>
  <c r="AI190" i="1"/>
  <c r="AJ190" i="1"/>
  <c r="O188" i="1"/>
  <c r="P188" i="1"/>
  <c r="Q188" i="1"/>
  <c r="R188" i="1"/>
  <c r="S188" i="1"/>
  <c r="T188" i="1"/>
  <c r="U188" i="1"/>
  <c r="V188" i="1"/>
  <c r="W188" i="1"/>
  <c r="X188" i="1"/>
  <c r="Z188" i="1"/>
  <c r="AA188" i="1"/>
  <c r="AB188" i="1"/>
  <c r="AC188" i="1"/>
  <c r="AD188" i="1"/>
  <c r="AE188" i="1"/>
  <c r="AF188" i="1"/>
  <c r="AG188" i="1"/>
  <c r="AH188" i="1"/>
  <c r="Y187" i="1"/>
  <c r="AD187" i="1"/>
  <c r="AD189" i="1"/>
  <c r="AM189" i="1"/>
  <c r="AM190" i="1" s="1"/>
  <c r="AM187" i="1"/>
  <c r="AM188" i="1" s="1"/>
  <c r="AI188" i="1"/>
  <c r="AJ188" i="1"/>
  <c r="AK188" i="1"/>
  <c r="AL188" i="1"/>
  <c r="AK190" i="1"/>
  <c r="AL190" i="1"/>
  <c r="N190" i="1"/>
  <c r="N188" i="1"/>
  <c r="M187" i="1"/>
  <c r="AD183" i="1"/>
  <c r="AD185" i="1"/>
  <c r="Y184" i="1"/>
  <c r="Y182" i="1"/>
  <c r="AM184" i="1"/>
  <c r="AM182" i="1"/>
  <c r="AM183" i="1" s="1"/>
  <c r="Y183" i="1"/>
  <c r="P183" i="1"/>
  <c r="Q183" i="1"/>
  <c r="R183" i="1"/>
  <c r="S183" i="1"/>
  <c r="T183" i="1"/>
  <c r="U183" i="1"/>
  <c r="V183" i="1"/>
  <c r="W183" i="1"/>
  <c r="X183" i="1"/>
  <c r="Z183" i="1"/>
  <c r="AA183" i="1"/>
  <c r="AB183" i="1"/>
  <c r="AC183" i="1"/>
  <c r="AE183" i="1"/>
  <c r="AF183" i="1"/>
  <c r="AG183" i="1"/>
  <c r="AH183" i="1"/>
  <c r="AI183" i="1"/>
  <c r="AJ183" i="1"/>
  <c r="AK183" i="1"/>
  <c r="AL183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E185" i="1"/>
  <c r="AF185" i="1"/>
  <c r="AG185" i="1"/>
  <c r="AH185" i="1"/>
  <c r="AI185" i="1"/>
  <c r="AJ185" i="1"/>
  <c r="AK185" i="1"/>
  <c r="AL185" i="1"/>
  <c r="AM185" i="1"/>
  <c r="O185" i="1"/>
  <c r="O183" i="1"/>
  <c r="N183" i="1"/>
  <c r="N185" i="1"/>
  <c r="M182" i="1"/>
  <c r="M67" i="3"/>
  <c r="L67" i="3"/>
  <c r="N66" i="3"/>
  <c r="O66" i="3" s="1"/>
  <c r="N65" i="3"/>
  <c r="O65" i="3" s="1"/>
  <c r="N64" i="3"/>
  <c r="O64" i="3" s="1"/>
  <c r="N63" i="3"/>
  <c r="O63" i="3" s="1"/>
  <c r="N62" i="3"/>
  <c r="O62" i="3" s="1"/>
  <c r="N61" i="3"/>
  <c r="O61" i="3" s="1"/>
  <c r="N60" i="3"/>
  <c r="O60" i="3" s="1"/>
  <c r="N59" i="3"/>
  <c r="O59" i="3" s="1"/>
  <c r="N58" i="3"/>
  <c r="O58" i="3" s="1"/>
  <c r="M54" i="3"/>
  <c r="L54" i="3"/>
  <c r="N53" i="3"/>
  <c r="O53" i="3" s="1"/>
  <c r="N52" i="3"/>
  <c r="O52" i="3" s="1"/>
  <c r="N51" i="3"/>
  <c r="O51" i="3" s="1"/>
  <c r="N50" i="3"/>
  <c r="O50" i="3" s="1"/>
  <c r="N49" i="3"/>
  <c r="O49" i="3" s="1"/>
  <c r="N48" i="3"/>
  <c r="O48" i="3" s="1"/>
  <c r="N47" i="3"/>
  <c r="O47" i="3" s="1"/>
  <c r="N46" i="3"/>
  <c r="O46" i="3" s="1"/>
  <c r="N45" i="3"/>
  <c r="O45" i="3" s="1"/>
  <c r="I67" i="3"/>
  <c r="H67" i="3"/>
  <c r="J66" i="3"/>
  <c r="K66" i="3" s="1"/>
  <c r="J65" i="3"/>
  <c r="K65" i="3" s="1"/>
  <c r="J64" i="3"/>
  <c r="K64" i="3" s="1"/>
  <c r="J63" i="3"/>
  <c r="K63" i="3" s="1"/>
  <c r="J62" i="3"/>
  <c r="K62" i="3" s="1"/>
  <c r="J61" i="3"/>
  <c r="K61" i="3" s="1"/>
  <c r="J60" i="3"/>
  <c r="K60" i="3" s="1"/>
  <c r="J59" i="3"/>
  <c r="K59" i="3" s="1"/>
  <c r="J58" i="3"/>
  <c r="K58" i="3" s="1"/>
  <c r="I54" i="3"/>
  <c r="H54" i="3"/>
  <c r="J53" i="3"/>
  <c r="K53" i="3" s="1"/>
  <c r="J52" i="3"/>
  <c r="K52" i="3" s="1"/>
  <c r="J51" i="3"/>
  <c r="K51" i="3" s="1"/>
  <c r="J50" i="3"/>
  <c r="K50" i="3" s="1"/>
  <c r="J49" i="3"/>
  <c r="K49" i="3" s="1"/>
  <c r="J48" i="3"/>
  <c r="K48" i="3" s="1"/>
  <c r="J47" i="3"/>
  <c r="K47" i="3" s="1"/>
  <c r="J46" i="3"/>
  <c r="K46" i="3" s="1"/>
  <c r="J45" i="3"/>
  <c r="K45" i="3" s="1"/>
  <c r="AH178" i="1"/>
  <c r="AH176" i="1"/>
  <c r="O179" i="1"/>
  <c r="P179" i="1"/>
  <c r="Q179" i="1"/>
  <c r="R179" i="1"/>
  <c r="S179" i="1"/>
  <c r="T179" i="1"/>
  <c r="U179" i="1"/>
  <c r="V179" i="1"/>
  <c r="W179" i="1"/>
  <c r="X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N179" i="1"/>
  <c r="O177" i="1"/>
  <c r="P177" i="1"/>
  <c r="Q177" i="1"/>
  <c r="R177" i="1"/>
  <c r="S177" i="1"/>
  <c r="T177" i="1"/>
  <c r="U177" i="1"/>
  <c r="V177" i="1"/>
  <c r="W177" i="1"/>
  <c r="X177" i="1"/>
  <c r="Z177" i="1"/>
  <c r="AA177" i="1"/>
  <c r="AB177" i="1"/>
  <c r="AC177" i="1"/>
  <c r="AD177" i="1"/>
  <c r="AE177" i="1"/>
  <c r="AF177" i="1"/>
  <c r="AG177" i="1"/>
  <c r="AH177" i="1"/>
  <c r="M177" i="1" s="1"/>
  <c r="AI177" i="1"/>
  <c r="AJ177" i="1"/>
  <c r="AK177" i="1"/>
  <c r="AL177" i="1"/>
  <c r="AM177" i="1"/>
  <c r="N177" i="1"/>
  <c r="M173" i="1"/>
  <c r="N174" i="1" s="1"/>
  <c r="Y178" i="1"/>
  <c r="Y179" i="1" s="1"/>
  <c r="Y176" i="1"/>
  <c r="Y177" i="1" s="1"/>
  <c r="AM178" i="1"/>
  <c r="AM176" i="1"/>
  <c r="W178" i="1"/>
  <c r="W176" i="1"/>
  <c r="AD173" i="1"/>
  <c r="N173" i="1"/>
  <c r="AG173" i="1"/>
  <c r="AE173" i="1"/>
  <c r="AF173" i="1"/>
  <c r="S173" i="1"/>
  <c r="D54" i="3"/>
  <c r="AH173" i="1"/>
  <c r="X173" i="1"/>
  <c r="C54" i="3"/>
  <c r="E53" i="3"/>
  <c r="F53" i="3" s="1"/>
  <c r="E52" i="3"/>
  <c r="F52" i="3" s="1"/>
  <c r="E51" i="3"/>
  <c r="F51" i="3" s="1"/>
  <c r="E50" i="3"/>
  <c r="F50" i="3" s="1"/>
  <c r="E49" i="3"/>
  <c r="F49" i="3" s="1"/>
  <c r="E48" i="3"/>
  <c r="F48" i="3" s="1"/>
  <c r="E47" i="3"/>
  <c r="F47" i="3" s="1"/>
  <c r="E46" i="3"/>
  <c r="F46" i="3" s="1"/>
  <c r="E45" i="3"/>
  <c r="F45" i="3" s="1"/>
  <c r="Y40" i="3"/>
  <c r="Y27" i="3"/>
  <c r="X40" i="3"/>
  <c r="Z39" i="3"/>
  <c r="AA39" i="3" s="1"/>
  <c r="Z38" i="3"/>
  <c r="AA38" i="3" s="1"/>
  <c r="Z37" i="3"/>
  <c r="AA37" i="3" s="1"/>
  <c r="Z36" i="3"/>
  <c r="AA36" i="3" s="1"/>
  <c r="Z35" i="3"/>
  <c r="AA35" i="3" s="1"/>
  <c r="Z34" i="3"/>
  <c r="AA34" i="3" s="1"/>
  <c r="Z33" i="3"/>
  <c r="AA33" i="3" s="1"/>
  <c r="Z32" i="3"/>
  <c r="AA32" i="3" s="1"/>
  <c r="Z31" i="3"/>
  <c r="AA31" i="3" s="1"/>
  <c r="M171" i="1"/>
  <c r="M169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N171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N169" i="1"/>
  <c r="AM170" i="1"/>
  <c r="AM168" i="1"/>
  <c r="M170" i="1"/>
  <c r="M160" i="1"/>
  <c r="AH168" i="1"/>
  <c r="Y170" i="1"/>
  <c r="Y168" i="1"/>
  <c r="N170" i="1"/>
  <c r="N168" i="1"/>
  <c r="AD170" i="1"/>
  <c r="AH170" i="1"/>
  <c r="AD168" i="1"/>
  <c r="U170" i="1"/>
  <c r="AA170" i="1"/>
  <c r="AA168" i="1"/>
  <c r="U168" i="1"/>
  <c r="S170" i="1"/>
  <c r="N164" i="1"/>
  <c r="X27" i="3"/>
  <c r="Z26" i="3"/>
  <c r="AA26" i="3" s="1"/>
  <c r="Z25" i="3"/>
  <c r="AA25" i="3" s="1"/>
  <c r="AA24" i="3"/>
  <c r="Z24" i="3"/>
  <c r="Z23" i="3"/>
  <c r="AA23" i="3" s="1"/>
  <c r="Z22" i="3"/>
  <c r="AA22" i="3" s="1"/>
  <c r="Z21" i="3"/>
  <c r="AA21" i="3" s="1"/>
  <c r="Z20" i="3"/>
  <c r="AA20" i="3" s="1"/>
  <c r="Z19" i="3"/>
  <c r="AA19" i="3" s="1"/>
  <c r="Z18" i="3"/>
  <c r="U40" i="3"/>
  <c r="T40" i="3"/>
  <c r="V39" i="3"/>
  <c r="W39" i="3" s="1"/>
  <c r="V38" i="3"/>
  <c r="W38" i="3" s="1"/>
  <c r="V37" i="3"/>
  <c r="W37" i="3" s="1"/>
  <c r="V36" i="3"/>
  <c r="W36" i="3" s="1"/>
  <c r="V35" i="3"/>
  <c r="W35" i="3" s="1"/>
  <c r="V34" i="3"/>
  <c r="W34" i="3" s="1"/>
  <c r="V33" i="3"/>
  <c r="W33" i="3" s="1"/>
  <c r="V32" i="3"/>
  <c r="W32" i="3" s="1"/>
  <c r="V31" i="3"/>
  <c r="W31" i="3" s="1"/>
  <c r="U27" i="3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M164" i="1"/>
  <c r="U166" i="1"/>
  <c r="AM166" i="1"/>
  <c r="O166" i="1"/>
  <c r="P166" i="1"/>
  <c r="Q166" i="1"/>
  <c r="R166" i="1"/>
  <c r="S166" i="1"/>
  <c r="T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O164" i="1"/>
  <c r="P164" i="1"/>
  <c r="Q164" i="1"/>
  <c r="R164" i="1"/>
  <c r="S164" i="1"/>
  <c r="T164" i="1"/>
  <c r="N166" i="1"/>
  <c r="N165" i="1"/>
  <c r="N163" i="1"/>
  <c r="P165" i="1"/>
  <c r="P163" i="1"/>
  <c r="T27" i="3"/>
  <c r="V26" i="3"/>
  <c r="W26" i="3" s="1"/>
  <c r="V25" i="3"/>
  <c r="W25" i="3" s="1"/>
  <c r="V24" i="3"/>
  <c r="W24" i="3" s="1"/>
  <c r="V23" i="3"/>
  <c r="W23" i="3" s="1"/>
  <c r="V22" i="3"/>
  <c r="W22" i="3" s="1"/>
  <c r="V21" i="3"/>
  <c r="W21" i="3" s="1"/>
  <c r="V20" i="3"/>
  <c r="W20" i="3" s="1"/>
  <c r="V19" i="3"/>
  <c r="W19" i="3" s="1"/>
  <c r="V18" i="3"/>
  <c r="W18" i="3" s="1"/>
  <c r="Q27" i="3"/>
  <c r="P27" i="3"/>
  <c r="R26" i="3"/>
  <c r="S26" i="3" s="1"/>
  <c r="R25" i="3"/>
  <c r="S25" i="3" s="1"/>
  <c r="R24" i="3"/>
  <c r="S24" i="3" s="1"/>
  <c r="R23" i="3"/>
  <c r="S23" i="3" s="1"/>
  <c r="R22" i="3"/>
  <c r="S22" i="3" s="1"/>
  <c r="R21" i="3"/>
  <c r="S21" i="3" s="1"/>
  <c r="R20" i="3"/>
  <c r="S20" i="3" s="1"/>
  <c r="R19" i="3"/>
  <c r="S19" i="3" s="1"/>
  <c r="R18" i="3"/>
  <c r="S18" i="3" s="1"/>
  <c r="AF160" i="1"/>
  <c r="AF161" i="1" s="1"/>
  <c r="AM160" i="1"/>
  <c r="AM161" i="1" s="1"/>
  <c r="X160" i="1"/>
  <c r="X161" i="1" s="1"/>
  <c r="AH160" i="1"/>
  <c r="U160" i="1"/>
  <c r="AH161" i="1"/>
  <c r="AI161" i="1"/>
  <c r="AJ161" i="1"/>
  <c r="AK161" i="1"/>
  <c r="AL161" i="1"/>
  <c r="Y160" i="1"/>
  <c r="Z161" i="1"/>
  <c r="AA161" i="1"/>
  <c r="AB161" i="1"/>
  <c r="AC161" i="1"/>
  <c r="AE161" i="1"/>
  <c r="AG161" i="1"/>
  <c r="V161" i="1"/>
  <c r="W161" i="1"/>
  <c r="Y161" i="1"/>
  <c r="T161" i="1"/>
  <c r="O161" i="1"/>
  <c r="P161" i="1"/>
  <c r="Q161" i="1"/>
  <c r="R161" i="1"/>
  <c r="S161" i="1"/>
  <c r="N161" i="1"/>
  <c r="N160" i="1"/>
  <c r="M27" i="3"/>
  <c r="L27" i="3"/>
  <c r="N26" i="3"/>
  <c r="O26" i="3" s="1"/>
  <c r="N25" i="3"/>
  <c r="O25" i="3" s="1"/>
  <c r="N24" i="3"/>
  <c r="O24" i="3" s="1"/>
  <c r="N23" i="3"/>
  <c r="O23" i="3" s="1"/>
  <c r="N22" i="3"/>
  <c r="O22" i="3" s="1"/>
  <c r="N21" i="3"/>
  <c r="O21" i="3" s="1"/>
  <c r="N20" i="3"/>
  <c r="O20" i="3" s="1"/>
  <c r="N19" i="3"/>
  <c r="O19" i="3" s="1"/>
  <c r="N18" i="3"/>
  <c r="O18" i="3" s="1"/>
  <c r="M40" i="3"/>
  <c r="L40" i="3"/>
  <c r="N39" i="3"/>
  <c r="O39" i="3" s="1"/>
  <c r="N38" i="3"/>
  <c r="O38" i="3" s="1"/>
  <c r="N37" i="3"/>
  <c r="O37" i="3" s="1"/>
  <c r="N36" i="3"/>
  <c r="O36" i="3" s="1"/>
  <c r="N35" i="3"/>
  <c r="O35" i="3" s="1"/>
  <c r="N34" i="3"/>
  <c r="O34" i="3" s="1"/>
  <c r="N33" i="3"/>
  <c r="O33" i="3" s="1"/>
  <c r="N32" i="3"/>
  <c r="O32" i="3" s="1"/>
  <c r="N31" i="3"/>
  <c r="O31" i="3" s="1"/>
  <c r="AD157" i="1"/>
  <c r="AD155" i="1"/>
  <c r="N157" i="1"/>
  <c r="M144" i="1"/>
  <c r="M151" i="1"/>
  <c r="M149" i="1"/>
  <c r="M146" i="1"/>
  <c r="M157" i="1"/>
  <c r="R158" i="1" s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M155" i="1"/>
  <c r="N156" i="1" s="1"/>
  <c r="M145" i="1"/>
  <c r="AM157" i="1"/>
  <c r="AH157" i="1"/>
  <c r="Y157" i="1"/>
  <c r="O155" i="1"/>
  <c r="N155" i="1"/>
  <c r="U157" i="1"/>
  <c r="AH155" i="1"/>
  <c r="T155" i="1"/>
  <c r="D40" i="3"/>
  <c r="C40" i="3"/>
  <c r="E39" i="3"/>
  <c r="F39" i="3" s="1"/>
  <c r="E38" i="3"/>
  <c r="F38" i="3" s="1"/>
  <c r="E37" i="3"/>
  <c r="F37" i="3" s="1"/>
  <c r="E36" i="3"/>
  <c r="F36" i="3" s="1"/>
  <c r="E35" i="3"/>
  <c r="F35" i="3" s="1"/>
  <c r="E34" i="3"/>
  <c r="F34" i="3" s="1"/>
  <c r="E33" i="3"/>
  <c r="F33" i="3" s="1"/>
  <c r="E32" i="3"/>
  <c r="F32" i="3" s="1"/>
  <c r="E31" i="3"/>
  <c r="F31" i="3" s="1"/>
  <c r="I40" i="3"/>
  <c r="H40" i="3"/>
  <c r="J39" i="3"/>
  <c r="K39" i="3" s="1"/>
  <c r="J38" i="3"/>
  <c r="K38" i="3" s="1"/>
  <c r="J37" i="3"/>
  <c r="K37" i="3" s="1"/>
  <c r="J36" i="3"/>
  <c r="K36" i="3" s="1"/>
  <c r="J35" i="3"/>
  <c r="K35" i="3" s="1"/>
  <c r="J34" i="3"/>
  <c r="K34" i="3" s="1"/>
  <c r="J33" i="3"/>
  <c r="K33" i="3" s="1"/>
  <c r="J32" i="3"/>
  <c r="K32" i="3" s="1"/>
  <c r="J31" i="3"/>
  <c r="K31" i="3" s="1"/>
  <c r="I27" i="3"/>
  <c r="H27" i="3"/>
  <c r="J26" i="3"/>
  <c r="K26" i="3" s="1"/>
  <c r="J25" i="3"/>
  <c r="K25" i="3" s="1"/>
  <c r="J24" i="3"/>
  <c r="K24" i="3" s="1"/>
  <c r="J23" i="3"/>
  <c r="K23" i="3" s="1"/>
  <c r="J22" i="3"/>
  <c r="K22" i="3" s="1"/>
  <c r="J21" i="3"/>
  <c r="K21" i="3" s="1"/>
  <c r="J20" i="3"/>
  <c r="K20" i="3" s="1"/>
  <c r="J19" i="3"/>
  <c r="K19" i="3" s="1"/>
  <c r="J18" i="3"/>
  <c r="K18" i="3" s="1"/>
  <c r="M150" i="1"/>
  <c r="M152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N152" i="1"/>
  <c r="N150" i="1"/>
  <c r="N145" i="1"/>
  <c r="F22" i="3"/>
  <c r="O147" i="1"/>
  <c r="P147" i="1"/>
  <c r="Q147" i="1"/>
  <c r="R147" i="1"/>
  <c r="S147" i="1"/>
  <c r="T147" i="1"/>
  <c r="U147" i="1"/>
  <c r="M147" i="1" s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N147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D27" i="3"/>
  <c r="AM4" i="3"/>
  <c r="AN4" i="3"/>
  <c r="C27" i="3"/>
  <c r="E26" i="3"/>
  <c r="F26" i="3" s="1"/>
  <c r="E25" i="3"/>
  <c r="F25" i="3" s="1"/>
  <c r="E24" i="3"/>
  <c r="F24" i="3" s="1"/>
  <c r="E23" i="3"/>
  <c r="F23" i="3" s="1"/>
  <c r="E22" i="3"/>
  <c r="E21" i="3"/>
  <c r="F21" i="3" s="1"/>
  <c r="E20" i="3"/>
  <c r="F20" i="3" s="1"/>
  <c r="E19" i="3"/>
  <c r="F19" i="3" s="1"/>
  <c r="E18" i="3"/>
  <c r="F18" i="3" s="1"/>
  <c r="AM12" i="3"/>
  <c r="AN12" i="3" s="1"/>
  <c r="AM11" i="3"/>
  <c r="AN11" i="3" s="1"/>
  <c r="AM10" i="3"/>
  <c r="AN10" i="3" s="1"/>
  <c r="AM9" i="3"/>
  <c r="AN9" i="3" s="1"/>
  <c r="AM8" i="3"/>
  <c r="AN8" i="3" s="1"/>
  <c r="AM7" i="3"/>
  <c r="AN7" i="3" s="1"/>
  <c r="AM6" i="3"/>
  <c r="AN6" i="3" s="1"/>
  <c r="AM5" i="3"/>
  <c r="AN5" i="3" s="1"/>
  <c r="AI12" i="3"/>
  <c r="AJ12" i="3" s="1"/>
  <c r="AI11" i="3"/>
  <c r="AJ11" i="3" s="1"/>
  <c r="AI10" i="3"/>
  <c r="AJ10" i="3" s="1"/>
  <c r="AI9" i="3"/>
  <c r="AJ9" i="3" s="1"/>
  <c r="AI8" i="3"/>
  <c r="AJ8" i="3" s="1"/>
  <c r="AI7" i="3"/>
  <c r="AJ7" i="3" s="1"/>
  <c r="AI6" i="3"/>
  <c r="AJ6" i="3" s="1"/>
  <c r="AI5" i="3"/>
  <c r="AJ5" i="3" s="1"/>
  <c r="AI4" i="3"/>
  <c r="AJ4" i="3" s="1"/>
  <c r="AJ13" i="3" s="1"/>
  <c r="AE12" i="3"/>
  <c r="AF12" i="3" s="1"/>
  <c r="AE11" i="3"/>
  <c r="AF11" i="3" s="1"/>
  <c r="AE10" i="3"/>
  <c r="AF10" i="3" s="1"/>
  <c r="AE9" i="3"/>
  <c r="AF9" i="3" s="1"/>
  <c r="AE8" i="3"/>
  <c r="AF8" i="3" s="1"/>
  <c r="AE7" i="3"/>
  <c r="AF7" i="3" s="1"/>
  <c r="AE6" i="3"/>
  <c r="AF6" i="3" s="1"/>
  <c r="AE5" i="3"/>
  <c r="AF5" i="3" s="1"/>
  <c r="AE4" i="3"/>
  <c r="AF4" i="3" s="1"/>
  <c r="L13" i="3"/>
  <c r="D13" i="3"/>
  <c r="H13" i="3"/>
  <c r="I13" i="3"/>
  <c r="M13" i="3"/>
  <c r="P13" i="3"/>
  <c r="Q13" i="3"/>
  <c r="T13" i="3"/>
  <c r="U13" i="3"/>
  <c r="X13" i="3"/>
  <c r="Y13" i="3"/>
  <c r="AB13" i="3"/>
  <c r="AC13" i="3"/>
  <c r="AD13" i="3"/>
  <c r="AG13" i="3"/>
  <c r="AH13" i="3"/>
  <c r="AK13" i="3"/>
  <c r="C13" i="3"/>
  <c r="X11" i="1"/>
  <c r="Z12" i="3"/>
  <c r="AA12" i="3" s="1"/>
  <c r="Z11" i="3"/>
  <c r="AA11" i="3" s="1"/>
  <c r="Z10" i="3"/>
  <c r="AA10" i="3" s="1"/>
  <c r="Z9" i="3"/>
  <c r="AA9" i="3" s="1"/>
  <c r="Z8" i="3"/>
  <c r="AA8" i="3" s="1"/>
  <c r="Z7" i="3"/>
  <c r="AA7" i="3" s="1"/>
  <c r="Z6" i="3"/>
  <c r="AA6" i="3" s="1"/>
  <c r="Z5" i="3"/>
  <c r="AA5" i="3" s="1"/>
  <c r="Z4" i="3"/>
  <c r="AA4" i="3" s="1"/>
  <c r="V4" i="3"/>
  <c r="W4" i="3" s="1"/>
  <c r="V12" i="3"/>
  <c r="W12" i="3" s="1"/>
  <c r="V11" i="3"/>
  <c r="W11" i="3" s="1"/>
  <c r="V10" i="3"/>
  <c r="W10" i="3" s="1"/>
  <c r="V9" i="3"/>
  <c r="W9" i="3" s="1"/>
  <c r="V8" i="3"/>
  <c r="W8" i="3" s="1"/>
  <c r="V7" i="3"/>
  <c r="W7" i="3" s="1"/>
  <c r="V6" i="3"/>
  <c r="W6" i="3" s="1"/>
  <c r="V5" i="3"/>
  <c r="W5" i="3" s="1"/>
  <c r="R4" i="3"/>
  <c r="S4" i="3" s="1"/>
  <c r="R5" i="3"/>
  <c r="S5" i="3" s="1"/>
  <c r="R6" i="3"/>
  <c r="S6" i="3" s="1"/>
  <c r="R7" i="3"/>
  <c r="S7" i="3" s="1"/>
  <c r="R8" i="3"/>
  <c r="S8" i="3" s="1"/>
  <c r="R9" i="3"/>
  <c r="S9" i="3" s="1"/>
  <c r="R10" i="3"/>
  <c r="S10" i="3" s="1"/>
  <c r="R11" i="3"/>
  <c r="S11" i="3" s="1"/>
  <c r="R12" i="3"/>
  <c r="S12" i="3" s="1"/>
  <c r="N4" i="3"/>
  <c r="O4" i="3" s="1"/>
  <c r="N5" i="3"/>
  <c r="O5" i="3" s="1"/>
  <c r="N6" i="3"/>
  <c r="O6" i="3" s="1"/>
  <c r="N7" i="3"/>
  <c r="O7" i="3" s="1"/>
  <c r="N8" i="3"/>
  <c r="O8" i="3" s="1"/>
  <c r="N9" i="3"/>
  <c r="O9" i="3" s="1"/>
  <c r="N10" i="3"/>
  <c r="O10" i="3" s="1"/>
  <c r="N11" i="3"/>
  <c r="O11" i="3" s="1"/>
  <c r="N12" i="3"/>
  <c r="O12" i="3" s="1"/>
  <c r="J6" i="3"/>
  <c r="K6" i="3" s="1"/>
  <c r="J12" i="3"/>
  <c r="K12" i="3" s="1"/>
  <c r="J11" i="3"/>
  <c r="K11" i="3" s="1"/>
  <c r="J10" i="3"/>
  <c r="K10" i="3" s="1"/>
  <c r="J9" i="3"/>
  <c r="K9" i="3" s="1"/>
  <c r="J8" i="3"/>
  <c r="K8" i="3" s="1"/>
  <c r="J7" i="3"/>
  <c r="K7" i="3" s="1"/>
  <c r="J5" i="3"/>
  <c r="K5" i="3" s="1"/>
  <c r="J4" i="3"/>
  <c r="K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4" i="3"/>
  <c r="G16" i="2"/>
  <c r="Y7" i="2"/>
  <c r="O84" i="2"/>
  <c r="I84" i="2"/>
  <c r="J84" i="2"/>
  <c r="K84" i="2"/>
  <c r="L84" i="2"/>
  <c r="M84" i="2"/>
  <c r="N84" i="2"/>
  <c r="P84" i="2"/>
  <c r="Q84" i="2"/>
  <c r="R84" i="2"/>
  <c r="S84" i="2"/>
  <c r="C84" i="2"/>
  <c r="D84" i="2"/>
  <c r="E84" i="2"/>
  <c r="F84" i="2"/>
  <c r="G84" i="2"/>
  <c r="H84" i="2"/>
  <c r="B84" i="2"/>
  <c r="B17" i="2"/>
  <c r="S17" i="2"/>
  <c r="R17" i="2"/>
  <c r="Q17" i="2"/>
  <c r="M17" i="2"/>
  <c r="B16" i="2"/>
  <c r="AM58" i="1"/>
  <c r="U60" i="1"/>
  <c r="U58" i="1"/>
  <c r="AH60" i="1"/>
  <c r="AD60" i="1"/>
  <c r="Y60" i="1"/>
  <c r="O60" i="1"/>
  <c r="N60" i="1" s="1"/>
  <c r="P60" i="1"/>
  <c r="O58" i="1"/>
  <c r="P58" i="1"/>
  <c r="AH58" i="1"/>
  <c r="AD58" i="1"/>
  <c r="Y58" i="1"/>
  <c r="AM60" i="1"/>
  <c r="Y37" i="1"/>
  <c r="Y35" i="1"/>
  <c r="AH35" i="1"/>
  <c r="AK37" i="1"/>
  <c r="AH37" i="1" s="1"/>
  <c r="AD37" i="1"/>
  <c r="AD35" i="1"/>
  <c r="V37" i="1"/>
  <c r="U37" i="1" s="1"/>
  <c r="V35" i="1"/>
  <c r="U35" i="1" s="1"/>
  <c r="V33" i="1"/>
  <c r="U33" i="1" s="1"/>
  <c r="AG29" i="1"/>
  <c r="AD29" i="1" s="1"/>
  <c r="T29" i="1"/>
  <c r="V29" i="1"/>
  <c r="U29" i="1" s="1"/>
  <c r="X7" i="2"/>
  <c r="M118" i="1"/>
  <c r="O119" i="1" s="1"/>
  <c r="M110" i="1"/>
  <c r="P111" i="1" s="1"/>
  <c r="M108" i="1"/>
  <c r="S109" i="1" s="1"/>
  <c r="M106" i="1"/>
  <c r="AH107" i="1" s="1"/>
  <c r="M104" i="1"/>
  <c r="Q105" i="1" s="1"/>
  <c r="M102" i="1"/>
  <c r="T103" i="1" s="1"/>
  <c r="M100" i="1"/>
  <c r="AD101" i="1" s="1"/>
  <c r="M98" i="1"/>
  <c r="AD99" i="1" s="1"/>
  <c r="M96" i="1"/>
  <c r="M94" i="1"/>
  <c r="AL95" i="1" s="1"/>
  <c r="M92" i="1"/>
  <c r="P93" i="1" s="1"/>
  <c r="M90" i="1"/>
  <c r="W91" i="1" s="1"/>
  <c r="M88" i="1"/>
  <c r="Y89" i="1" s="1"/>
  <c r="M86" i="1"/>
  <c r="R87" i="1" s="1"/>
  <c r="M84" i="1"/>
  <c r="P85" i="1" s="1"/>
  <c r="M82" i="1"/>
  <c r="Z83" i="1" s="1"/>
  <c r="M80" i="1"/>
  <c r="M78" i="1"/>
  <c r="AH79" i="1" s="1"/>
  <c r="M76" i="1"/>
  <c r="V77" i="1" s="1"/>
  <c r="AB8" i="2"/>
  <c r="AB9" i="2"/>
  <c r="AB10" i="2"/>
  <c r="AB11" i="2"/>
  <c r="AB12" i="2"/>
  <c r="AB13" i="2"/>
  <c r="AB14" i="2"/>
  <c r="AB15" i="2"/>
  <c r="AB7" i="2"/>
  <c r="AA8" i="2"/>
  <c r="AA9" i="2"/>
  <c r="AA10" i="2"/>
  <c r="AA11" i="2"/>
  <c r="AA12" i="2"/>
  <c r="AA13" i="2"/>
  <c r="AA14" i="2"/>
  <c r="AA15" i="2"/>
  <c r="AA7" i="2"/>
  <c r="Z8" i="2"/>
  <c r="Z9" i="2"/>
  <c r="Z10" i="2"/>
  <c r="Z11" i="2"/>
  <c r="Z12" i="2"/>
  <c r="Z13" i="2"/>
  <c r="Z14" i="2"/>
  <c r="Z15" i="2"/>
  <c r="Z7" i="2"/>
  <c r="N22" i="1"/>
  <c r="O21" i="1"/>
  <c r="O22" i="1" s="1"/>
  <c r="P24" i="1"/>
  <c r="Q24" i="1"/>
  <c r="R24" i="1"/>
  <c r="S24" i="1"/>
  <c r="U24" i="1"/>
  <c r="V24" i="1"/>
  <c r="W24" i="1"/>
  <c r="X24" i="1"/>
  <c r="Z24" i="1"/>
  <c r="AA24" i="1"/>
  <c r="AB24" i="1"/>
  <c r="AC24" i="1"/>
  <c r="AE24" i="1"/>
  <c r="AG24" i="1"/>
  <c r="AJ24" i="1"/>
  <c r="AK24" i="1"/>
  <c r="AM24" i="1"/>
  <c r="N24" i="1"/>
  <c r="P22" i="1"/>
  <c r="Q22" i="1"/>
  <c r="R22" i="1"/>
  <c r="S22" i="1"/>
  <c r="U22" i="1"/>
  <c r="W22" i="1"/>
  <c r="X22" i="1"/>
  <c r="Z22" i="1"/>
  <c r="AB22" i="1"/>
  <c r="AC22" i="1"/>
  <c r="AE22" i="1"/>
  <c r="AF22" i="1"/>
  <c r="AG22" i="1"/>
  <c r="AI22" i="1"/>
  <c r="AJ22" i="1"/>
  <c r="AK22" i="1"/>
  <c r="AM22" i="1"/>
  <c r="O20" i="1"/>
  <c r="P20" i="1"/>
  <c r="Q20" i="1"/>
  <c r="R20" i="1"/>
  <c r="S20" i="1"/>
  <c r="U20" i="1"/>
  <c r="X20" i="1"/>
  <c r="Z20" i="1"/>
  <c r="AB20" i="1"/>
  <c r="AC20" i="1"/>
  <c r="AE20" i="1"/>
  <c r="AF20" i="1"/>
  <c r="AG20" i="1"/>
  <c r="AI20" i="1"/>
  <c r="AJ20" i="1"/>
  <c r="AK20" i="1"/>
  <c r="AM20" i="1"/>
  <c r="K17" i="2"/>
  <c r="AL23" i="1"/>
  <c r="AL24" i="1" s="1"/>
  <c r="AL21" i="1"/>
  <c r="AL22" i="1" s="1"/>
  <c r="AL19" i="1"/>
  <c r="AL20" i="1" s="1"/>
  <c r="AA21" i="1"/>
  <c r="AA22" i="1" s="1"/>
  <c r="AA19" i="1"/>
  <c r="AA20" i="1" s="1"/>
  <c r="AI23" i="1"/>
  <c r="AF23" i="1"/>
  <c r="AF24" i="1" s="1"/>
  <c r="W19" i="1"/>
  <c r="W20" i="1" s="1"/>
  <c r="T23" i="1"/>
  <c r="T24" i="1" s="1"/>
  <c r="T21" i="1"/>
  <c r="T22" i="1" s="1"/>
  <c r="T19" i="1"/>
  <c r="T20" i="1" s="1"/>
  <c r="O23" i="1"/>
  <c r="O24" i="1" s="1"/>
  <c r="Y8" i="2"/>
  <c r="Y9" i="2"/>
  <c r="Y10" i="2"/>
  <c r="Y11" i="2"/>
  <c r="Y12" i="2"/>
  <c r="Y13" i="2"/>
  <c r="Y14" i="2"/>
  <c r="Y15" i="2"/>
  <c r="X15" i="2"/>
  <c r="X14" i="2"/>
  <c r="X8" i="2"/>
  <c r="X9" i="2"/>
  <c r="X10" i="2"/>
  <c r="X11" i="2"/>
  <c r="X12" i="2"/>
  <c r="X13" i="2"/>
  <c r="N16" i="2"/>
  <c r="O16" i="2"/>
  <c r="P16" i="2"/>
  <c r="Q16" i="2"/>
  <c r="N17" i="2"/>
  <c r="O17" i="2"/>
  <c r="P17" i="2"/>
  <c r="K16" i="2"/>
  <c r="M16" i="2"/>
  <c r="I16" i="2"/>
  <c r="J16" i="2"/>
  <c r="I17" i="2"/>
  <c r="J17" i="2"/>
  <c r="F16" i="2"/>
  <c r="H16" i="2"/>
  <c r="H17" i="2"/>
  <c r="G17" i="2"/>
  <c r="C17" i="2"/>
  <c r="D17" i="2"/>
  <c r="E17" i="2"/>
  <c r="F17" i="2"/>
  <c r="C16" i="2"/>
  <c r="D16" i="2"/>
  <c r="E16" i="2"/>
  <c r="M72" i="1"/>
  <c r="M70" i="1"/>
  <c r="M67" i="1"/>
  <c r="M69" i="1"/>
  <c r="M66" i="1"/>
  <c r="U41" i="1"/>
  <c r="AD41" i="1"/>
  <c r="AH41" i="1"/>
  <c r="N41" i="1"/>
  <c r="P27" i="1"/>
  <c r="AK27" i="1"/>
  <c r="AK25" i="1"/>
  <c r="AI25" i="1"/>
  <c r="V25" i="1"/>
  <c r="AI27" i="1"/>
  <c r="AH27" i="1" s="1"/>
  <c r="AD25" i="1"/>
  <c r="AF27" i="1"/>
  <c r="AD27" i="1" s="1"/>
  <c r="Z27" i="1"/>
  <c r="Y27" i="1" s="1"/>
  <c r="AA25" i="1"/>
  <c r="Y25" i="1" s="1"/>
  <c r="X27" i="1"/>
  <c r="X25" i="1"/>
  <c r="U3" i="1"/>
  <c r="W27" i="1"/>
  <c r="V27" i="1"/>
  <c r="W25" i="1"/>
  <c r="T27" i="1"/>
  <c r="S27" i="1"/>
  <c r="R27" i="1"/>
  <c r="Q27" i="1"/>
  <c r="O27" i="1"/>
  <c r="R25" i="1"/>
  <c r="Q25" i="1"/>
  <c r="O25" i="1"/>
  <c r="AH21" i="1"/>
  <c r="AH22" i="1" s="1"/>
  <c r="AH19" i="1"/>
  <c r="AH20" i="1" s="1"/>
  <c r="AD21" i="1"/>
  <c r="AD22" i="1" s="1"/>
  <c r="V21" i="1"/>
  <c r="V22" i="1" s="1"/>
  <c r="AH11" i="1"/>
  <c r="AD19" i="1"/>
  <c r="AD20" i="1" s="1"/>
  <c r="Y11" i="1"/>
  <c r="Y3" i="1"/>
  <c r="V19" i="1"/>
  <c r="V20" i="1" s="1"/>
  <c r="N19" i="1"/>
  <c r="N20" i="1" s="1"/>
  <c r="U32" i="1"/>
  <c r="U46" i="1"/>
  <c r="Y23" i="1"/>
  <c r="Y24" i="1" s="1"/>
  <c r="U15" i="1"/>
  <c r="AG11" i="1"/>
  <c r="AD11" i="1" s="1"/>
  <c r="V11" i="1"/>
  <c r="U11" i="1" s="1"/>
  <c r="AK9" i="1"/>
  <c r="AH9" i="1" s="1"/>
  <c r="V9" i="1"/>
  <c r="U9" i="1" s="1"/>
  <c r="AD9" i="1"/>
  <c r="Y9" i="1"/>
  <c r="O9" i="1"/>
  <c r="N9" i="1" s="1"/>
  <c r="AK7" i="1"/>
  <c r="AH7" i="1" s="1"/>
  <c r="X7" i="1"/>
  <c r="N63" i="1"/>
  <c r="V7" i="1"/>
  <c r="U7" i="1" s="1"/>
  <c r="N7" i="1"/>
  <c r="X5" i="1"/>
  <c r="V5" i="1"/>
  <c r="U5" i="1" s="1"/>
  <c r="O5" i="1"/>
  <c r="AK5" i="1"/>
  <c r="AH5" i="1" s="1"/>
  <c r="AD5" i="1"/>
  <c r="Y5" i="1"/>
  <c r="T5" i="1"/>
  <c r="S5" i="1"/>
  <c r="R5" i="1"/>
  <c r="P5" i="1"/>
  <c r="U63" i="1"/>
  <c r="U14" i="1"/>
  <c r="U18" i="1"/>
  <c r="U39" i="1"/>
  <c r="U43" i="1"/>
  <c r="U47" i="1"/>
  <c r="X3" i="1"/>
  <c r="AH3" i="1"/>
  <c r="AH29" i="1"/>
  <c r="AH33" i="1"/>
  <c r="AH39" i="1"/>
  <c r="AH43" i="1"/>
  <c r="AH47" i="1"/>
  <c r="AD3" i="1"/>
  <c r="AD7" i="1"/>
  <c r="AD33" i="1"/>
  <c r="AD39" i="1"/>
  <c r="AD43" i="1"/>
  <c r="AD47" i="1"/>
  <c r="Y7" i="1"/>
  <c r="Y15" i="1"/>
  <c r="Y29" i="1"/>
  <c r="Y33" i="1"/>
  <c r="Y39" i="1"/>
  <c r="Y43" i="1"/>
  <c r="Y47" i="1"/>
  <c r="N3" i="1"/>
  <c r="N11" i="1"/>
  <c r="N15" i="1"/>
  <c r="N29" i="1"/>
  <c r="N39" i="1"/>
  <c r="N43" i="1"/>
  <c r="N47" i="1"/>
  <c r="AH63" i="1"/>
  <c r="AD63" i="1"/>
  <c r="Y63" i="1"/>
  <c r="FK36" i="7" l="1"/>
  <c r="FK38" i="7" s="1"/>
  <c r="FJ25" i="7"/>
  <c r="FK25" i="7"/>
  <c r="FM29" i="7"/>
  <c r="FM35" i="7"/>
  <c r="FM25" i="7"/>
  <c r="FM31" i="7"/>
  <c r="FM23" i="7"/>
  <c r="FL23" i="7"/>
  <c r="FL25" i="7" s="1"/>
  <c r="FC34" i="7"/>
  <c r="FC36" i="7" s="1"/>
  <c r="FC38" i="7" s="1"/>
  <c r="IZ32" i="7"/>
  <c r="IZ29" i="7"/>
  <c r="II34" i="7"/>
  <c r="FC25" i="7"/>
  <c r="IX23" i="7"/>
  <c r="IZ31" i="7"/>
  <c r="IZ30" i="7"/>
  <c r="IZ33" i="7"/>
  <c r="IZ35" i="7"/>
  <c r="IX33" i="7"/>
  <c r="IZ23" i="7"/>
  <c r="IY23" i="7"/>
  <c r="IZ34" i="7" s="1"/>
  <c r="HY31" i="7"/>
  <c r="IX35" i="7"/>
  <c r="JB18" i="7"/>
  <c r="IX30" i="7"/>
  <c r="JC18" i="7"/>
  <c r="JB19" i="7"/>
  <c r="IW23" i="7"/>
  <c r="JB22" i="7"/>
  <c r="JB20" i="7" s="1"/>
  <c r="JB24" i="7"/>
  <c r="HS31" i="7"/>
  <c r="IU23" i="7"/>
  <c r="IV34" i="7" s="1"/>
  <c r="IV31" i="7"/>
  <c r="HC31" i="7"/>
  <c r="HQ31" i="7"/>
  <c r="HR23" i="7"/>
  <c r="HR25" i="7" s="1"/>
  <c r="IE31" i="7"/>
  <c r="IS23" i="7"/>
  <c r="JC22" i="7"/>
  <c r="IC34" i="7"/>
  <c r="IP34" i="7"/>
  <c r="IT35" i="7"/>
  <c r="JC30" i="7"/>
  <c r="IT33" i="7"/>
  <c r="IT31" i="7"/>
  <c r="IT30" i="7"/>
  <c r="HX23" i="7"/>
  <c r="HY34" i="7" s="1"/>
  <c r="IP31" i="7"/>
  <c r="FE30" i="7"/>
  <c r="HV23" i="7"/>
  <c r="HW34" i="7" s="1"/>
  <c r="IC31" i="7"/>
  <c r="ID23" i="7"/>
  <c r="ID25" i="7" s="1"/>
  <c r="II31" i="7"/>
  <c r="II36" i="7" s="1"/>
  <c r="II38" i="7" s="1"/>
  <c r="IR34" i="7"/>
  <c r="IR36" i="7" s="1"/>
  <c r="IR38" i="7" s="1"/>
  <c r="HG31" i="7"/>
  <c r="HO31" i="7"/>
  <c r="HW31" i="7"/>
  <c r="IE25" i="7"/>
  <c r="IT29" i="7"/>
  <c r="IT32" i="7"/>
  <c r="IA34" i="7"/>
  <c r="IG34" i="7"/>
  <c r="IN34" i="7"/>
  <c r="HD23" i="7"/>
  <c r="HD25" i="7" s="1"/>
  <c r="HF23" i="7"/>
  <c r="HF25" i="7" s="1"/>
  <c r="HZ25" i="7"/>
  <c r="IA31" i="7"/>
  <c r="IF25" i="7"/>
  <c r="JC21" i="7"/>
  <c r="JC32" i="7" s="1"/>
  <c r="HT23" i="7"/>
  <c r="HT25" i="7" s="1"/>
  <c r="IB25" i="7"/>
  <c r="IG31" i="7"/>
  <c r="IH25" i="7"/>
  <c r="IN31" i="7"/>
  <c r="JC24" i="7"/>
  <c r="HM31" i="7"/>
  <c r="HC23" i="7"/>
  <c r="HC25" i="7" s="1"/>
  <c r="IT23" i="7"/>
  <c r="IT34" i="7" s="1"/>
  <c r="HU31" i="7"/>
  <c r="HU25" i="7"/>
  <c r="HQ34" i="7"/>
  <c r="HK31" i="7"/>
  <c r="HA34" i="7"/>
  <c r="HE31" i="7"/>
  <c r="HI23" i="7"/>
  <c r="HI25" i="7" s="1"/>
  <c r="HM23" i="7"/>
  <c r="HM25" i="7" s="1"/>
  <c r="HO23" i="7"/>
  <c r="HO25" i="7" s="1"/>
  <c r="HP25" i="7"/>
  <c r="HA31" i="7"/>
  <c r="HN23" i="7"/>
  <c r="HI31" i="7"/>
  <c r="GZ25" i="7"/>
  <c r="HE23" i="7"/>
  <c r="HG25" i="7"/>
  <c r="HK23" i="7"/>
  <c r="HK25" i="7" s="1"/>
  <c r="HL23" i="7"/>
  <c r="FE31" i="7"/>
  <c r="HJ23" i="7"/>
  <c r="HB23" i="7"/>
  <c r="HH23" i="7"/>
  <c r="AJ193" i="2"/>
  <c r="AA202" i="2"/>
  <c r="AA203" i="2" s="1"/>
  <c r="X196" i="2"/>
  <c r="R202" i="2"/>
  <c r="AD193" i="2"/>
  <c r="AJ192" i="2"/>
  <c r="AD192" i="2"/>
  <c r="AA194" i="2"/>
  <c r="Z201" i="2"/>
  <c r="AG194" i="2"/>
  <c r="AM198" i="2"/>
  <c r="AJ194" i="2"/>
  <c r="AA195" i="2"/>
  <c r="AG195" i="2"/>
  <c r="AG202" i="2"/>
  <c r="AG203" i="2" s="1"/>
  <c r="AD12" i="2"/>
  <c r="AE12" i="2"/>
  <c r="FT22" i="7"/>
  <c r="FU33" i="7" s="1"/>
  <c r="FT18" i="7"/>
  <c r="FT21" i="7"/>
  <c r="FU32" i="7" s="1"/>
  <c r="FT24" i="7"/>
  <c r="FU35" i="7" s="1"/>
  <c r="FT19" i="7"/>
  <c r="FU30" i="7" s="1"/>
  <c r="DB30" i="7"/>
  <c r="DF31" i="7"/>
  <c r="DF32" i="7"/>
  <c r="DF35" i="7"/>
  <c r="AE32" i="7"/>
  <c r="AE33" i="7"/>
  <c r="DB33" i="7"/>
  <c r="DB35" i="7"/>
  <c r="W35" i="7"/>
  <c r="BO23" i="7"/>
  <c r="AE35" i="7"/>
  <c r="DB29" i="7"/>
  <c r="AM190" i="2"/>
  <c r="AM202" i="2" s="1"/>
  <c r="AM203" i="2" s="1"/>
  <c r="AI201" i="2"/>
  <c r="AJ190" i="2"/>
  <c r="AJ202" i="2" s="1"/>
  <c r="AJ203" i="2" s="1"/>
  <c r="AF201" i="2"/>
  <c r="AC201" i="2"/>
  <c r="AD190" i="2"/>
  <c r="AD202" i="2" s="1"/>
  <c r="AD203" i="2" s="1"/>
  <c r="AA190" i="2"/>
  <c r="AA198" i="2"/>
  <c r="W201" i="2"/>
  <c r="X201" i="2" s="1"/>
  <c r="X190" i="2"/>
  <c r="X202" i="2" s="1"/>
  <c r="N201" i="2"/>
  <c r="O192" i="2"/>
  <c r="O196" i="2"/>
  <c r="O191" i="2"/>
  <c r="O195" i="2"/>
  <c r="U198" i="2"/>
  <c r="R197" i="2"/>
  <c r="O202" i="2"/>
  <c r="U195" i="2"/>
  <c r="U194" i="2"/>
  <c r="Q201" i="2"/>
  <c r="R201" i="2" s="1"/>
  <c r="R203" i="2" s="1"/>
  <c r="U192" i="2"/>
  <c r="R191" i="2"/>
  <c r="R195" i="2"/>
  <c r="U193" i="2"/>
  <c r="T201" i="2"/>
  <c r="U201" i="2" s="1"/>
  <c r="U190" i="2"/>
  <c r="U202" i="2" s="1"/>
  <c r="CK34" i="7"/>
  <c r="CK36" i="7" s="1"/>
  <c r="CK38" i="7" s="1"/>
  <c r="CH24" i="7"/>
  <c r="DB43" i="7"/>
  <c r="U33" i="7"/>
  <c r="DQ23" i="7"/>
  <c r="DR34" i="7" s="1"/>
  <c r="T34" i="7"/>
  <c r="CF19" i="7"/>
  <c r="CH21" i="7"/>
  <c r="CH32" i="7" s="1"/>
  <c r="CF20" i="7"/>
  <c r="CF21" i="7"/>
  <c r="CG32" i="7" s="1"/>
  <c r="CG22" i="7"/>
  <c r="CF22" i="7"/>
  <c r="CF24" i="7"/>
  <c r="CG24" i="7"/>
  <c r="CH35" i="7" s="1"/>
  <c r="CH22" i="7"/>
  <c r="CH18" i="7"/>
  <c r="CG18" i="7"/>
  <c r="CG20" i="7"/>
  <c r="CH31" i="7" s="1"/>
  <c r="CG19" i="7"/>
  <c r="CH19" i="7"/>
  <c r="CL25" i="7"/>
  <c r="CM25" i="7"/>
  <c r="AF32" i="7"/>
  <c r="CD21" i="7"/>
  <c r="CC21" i="7"/>
  <c r="CE21" i="7"/>
  <c r="CE20" i="7"/>
  <c r="CE22" i="7" s="1"/>
  <c r="CE33" i="7" s="1"/>
  <c r="CC18" i="7"/>
  <c r="CE19" i="7"/>
  <c r="CE24" i="7"/>
  <c r="CD18" i="7"/>
  <c r="CD24" i="7"/>
  <c r="CD19" i="7"/>
  <c r="CD30" i="7" s="1"/>
  <c r="CC20" i="7"/>
  <c r="CC24" i="7"/>
  <c r="CS30" i="7"/>
  <c r="AY20" i="7"/>
  <c r="AZ31" i="7" s="1"/>
  <c r="EW29" i="7"/>
  <c r="CS32" i="7"/>
  <c r="CR25" i="7"/>
  <c r="CT23" i="7"/>
  <c r="CT25" i="7" s="1"/>
  <c r="CS25" i="7"/>
  <c r="CV31" i="7"/>
  <c r="CU23" i="7"/>
  <c r="CV34" i="7" s="1"/>
  <c r="CV25" i="7"/>
  <c r="GR29" i="7"/>
  <c r="GQ22" i="7"/>
  <c r="GQ23" i="7" s="1"/>
  <c r="GQ25" i="7" s="1"/>
  <c r="GR30" i="7"/>
  <c r="AY21" i="7"/>
  <c r="BB19" i="7"/>
  <c r="AZ22" i="7"/>
  <c r="AZ33" i="7" s="1"/>
  <c r="BB21" i="7"/>
  <c r="GR31" i="7"/>
  <c r="AY19" i="7"/>
  <c r="AY18" i="7"/>
  <c r="BA19" i="7"/>
  <c r="BB18" i="7"/>
  <c r="BB29" i="7" s="1"/>
  <c r="GR35" i="7"/>
  <c r="BB24" i="7"/>
  <c r="GR32" i="7"/>
  <c r="AZ21" i="7"/>
  <c r="AZ32" i="7" s="1"/>
  <c r="BA21" i="7"/>
  <c r="BA20" i="7"/>
  <c r="BB31" i="7" s="1"/>
  <c r="BA24" i="7"/>
  <c r="GR22" i="7"/>
  <c r="BB22" i="7"/>
  <c r="FH35" i="7"/>
  <c r="AZ18" i="7"/>
  <c r="AZ19" i="7"/>
  <c r="FG35" i="7"/>
  <c r="FF18" i="7"/>
  <c r="FF19" i="7"/>
  <c r="FF20" i="7"/>
  <c r="FF21" i="7"/>
  <c r="FF22" i="7"/>
  <c r="FI18" i="7"/>
  <c r="FI20" i="7"/>
  <c r="FI22" i="7"/>
  <c r="FI24" i="7"/>
  <c r="FI35" i="7" s="1"/>
  <c r="FG18" i="7"/>
  <c r="FG19" i="7"/>
  <c r="FG20" i="7"/>
  <c r="FG21" i="7"/>
  <c r="FG22" i="7"/>
  <c r="FI19" i="7"/>
  <c r="FH18" i="7"/>
  <c r="FH19" i="7"/>
  <c r="FH20" i="7"/>
  <c r="FH21" i="7"/>
  <c r="FH22" i="7"/>
  <c r="AW32" i="7"/>
  <c r="AW31" i="7"/>
  <c r="AX32" i="7"/>
  <c r="AX33" i="7"/>
  <c r="CM34" i="7"/>
  <c r="CM31" i="7"/>
  <c r="CP29" i="7"/>
  <c r="CP32" i="7"/>
  <c r="CP30" i="7"/>
  <c r="CP31" i="7"/>
  <c r="CP35" i="7"/>
  <c r="CP33" i="7"/>
  <c r="BY23" i="7"/>
  <c r="BY25" i="7" s="1"/>
  <c r="CO29" i="7"/>
  <c r="CP23" i="7"/>
  <c r="CO35" i="7"/>
  <c r="CO33" i="7"/>
  <c r="CO31" i="7"/>
  <c r="CO23" i="7"/>
  <c r="CN23" i="7"/>
  <c r="CO32" i="7"/>
  <c r="CO30" i="7"/>
  <c r="BZ20" i="7"/>
  <c r="CA32" i="7"/>
  <c r="CA20" i="7"/>
  <c r="BZ21" i="7"/>
  <c r="CB32" i="7" s="1"/>
  <c r="BZ18" i="7"/>
  <c r="CA22" i="7"/>
  <c r="CA18" i="7"/>
  <c r="BZ22" i="7"/>
  <c r="CA24" i="7"/>
  <c r="AU33" i="7"/>
  <c r="CA19" i="7"/>
  <c r="BZ19" i="7"/>
  <c r="BY32" i="7"/>
  <c r="BY35" i="7"/>
  <c r="BY33" i="7"/>
  <c r="BY31" i="7"/>
  <c r="BY30" i="7"/>
  <c r="BY29" i="7"/>
  <c r="AT31" i="7"/>
  <c r="AU35" i="7"/>
  <c r="BX23" i="7"/>
  <c r="AT23" i="7"/>
  <c r="AT25" i="7" s="1"/>
  <c r="AT33" i="7"/>
  <c r="AU31" i="7"/>
  <c r="AT35" i="7"/>
  <c r="AS23" i="7"/>
  <c r="AS25" i="7" s="1"/>
  <c r="AQ30" i="7"/>
  <c r="AR32" i="7"/>
  <c r="AR34" i="7"/>
  <c r="AU23" i="7"/>
  <c r="AQ32" i="7"/>
  <c r="AR30" i="7"/>
  <c r="AQ35" i="7"/>
  <c r="AQ31" i="7"/>
  <c r="AR35" i="7"/>
  <c r="AQ34" i="7"/>
  <c r="AR31" i="7"/>
  <c r="AR22" i="7"/>
  <c r="AR29" i="7"/>
  <c r="AQ22" i="7"/>
  <c r="AQ29" i="7"/>
  <c r="AN29" i="7"/>
  <c r="AP22" i="7"/>
  <c r="AP25" i="7" s="1"/>
  <c r="AN33" i="7"/>
  <c r="AN35" i="7"/>
  <c r="AO33" i="7"/>
  <c r="AN32" i="7"/>
  <c r="AO32" i="7"/>
  <c r="AO31" i="7"/>
  <c r="AN31" i="7"/>
  <c r="AO35" i="7"/>
  <c r="AO29" i="7"/>
  <c r="AN23" i="7"/>
  <c r="AN25" i="7" s="1"/>
  <c r="AO23" i="7"/>
  <c r="AO25" i="7" s="1"/>
  <c r="AO30" i="7"/>
  <c r="AN30" i="7"/>
  <c r="AM23" i="7"/>
  <c r="AK34" i="7"/>
  <c r="AK36" i="7" s="1"/>
  <c r="AK38" i="7" s="1"/>
  <c r="AH31" i="7"/>
  <c r="AL34" i="7"/>
  <c r="AL36" i="7" s="1"/>
  <c r="AL38" i="7" s="1"/>
  <c r="AK25" i="7"/>
  <c r="AI33" i="7"/>
  <c r="AH33" i="7"/>
  <c r="AH23" i="7"/>
  <c r="AH25" i="7" s="1"/>
  <c r="AE31" i="7"/>
  <c r="AG23" i="7"/>
  <c r="AG25" i="7" s="1"/>
  <c r="AI23" i="7"/>
  <c r="AI31" i="7"/>
  <c r="AD33" i="7"/>
  <c r="Z31" i="7"/>
  <c r="AD32" i="7"/>
  <c r="AF30" i="7"/>
  <c r="AE30" i="7"/>
  <c r="AF33" i="7"/>
  <c r="AF31" i="7"/>
  <c r="AD30" i="7"/>
  <c r="AF35" i="7"/>
  <c r="AE29" i="7"/>
  <c r="AD31" i="7"/>
  <c r="AD35" i="7"/>
  <c r="AC23" i="7"/>
  <c r="AC25" i="7" s="1"/>
  <c r="AF29" i="7"/>
  <c r="AF23" i="7"/>
  <c r="AE23" i="7"/>
  <c r="Y23" i="7"/>
  <c r="Y25" i="7" s="1"/>
  <c r="AB33" i="7"/>
  <c r="AA31" i="7"/>
  <c r="AD23" i="7"/>
  <c r="AD29" i="7"/>
  <c r="AA30" i="7"/>
  <c r="Z32" i="7"/>
  <c r="AA33" i="7"/>
  <c r="AB31" i="7"/>
  <c r="Z29" i="7"/>
  <c r="AB30" i="7"/>
  <c r="AB23" i="7"/>
  <c r="AB25" i="7" s="1"/>
  <c r="Z33" i="7"/>
  <c r="AA32" i="7"/>
  <c r="AB32" i="7"/>
  <c r="Z30" i="7"/>
  <c r="AA23" i="7"/>
  <c r="AA25" i="7" s="1"/>
  <c r="ED30" i="7"/>
  <c r="AB29" i="7"/>
  <c r="Z23" i="7"/>
  <c r="AA29" i="7"/>
  <c r="EH34" i="7"/>
  <c r="EH36" i="7" s="1"/>
  <c r="EH38" i="7" s="1"/>
  <c r="ED31" i="7"/>
  <c r="ED35" i="7"/>
  <c r="EF34" i="7"/>
  <c r="EF36" i="7" s="1"/>
  <c r="EF38" i="7" s="1"/>
  <c r="BT22" i="7"/>
  <c r="ED32" i="7"/>
  <c r="ED29" i="7"/>
  <c r="DZ20" i="7"/>
  <c r="ED33" i="7"/>
  <c r="DZ18" i="7"/>
  <c r="ED23" i="7"/>
  <c r="EC23" i="7"/>
  <c r="EC34" i="7" s="1"/>
  <c r="EC36" i="7" s="1"/>
  <c r="BU20" i="7"/>
  <c r="DZ21" i="7"/>
  <c r="DZ19" i="7"/>
  <c r="DU34" i="7"/>
  <c r="DY22" i="7"/>
  <c r="EA24" i="7"/>
  <c r="EA35" i="7" s="1"/>
  <c r="DY21" i="7"/>
  <c r="DY18" i="7"/>
  <c r="EA21" i="7"/>
  <c r="DY19" i="7"/>
  <c r="DY20" i="7"/>
  <c r="DZ22" i="7"/>
  <c r="EA33" i="7" s="1"/>
  <c r="EA19" i="7"/>
  <c r="EA18" i="7"/>
  <c r="EA20" i="7"/>
  <c r="DZ35" i="7"/>
  <c r="DX34" i="7"/>
  <c r="DX36" i="7" s="1"/>
  <c r="DX38" i="7" s="1"/>
  <c r="DU31" i="7"/>
  <c r="DU25" i="7"/>
  <c r="DT25" i="7"/>
  <c r="DV31" i="7"/>
  <c r="DV23" i="7"/>
  <c r="DV34" i="7" s="1"/>
  <c r="DS34" i="7"/>
  <c r="DS36" i="7" s="1"/>
  <c r="DS38" i="7" s="1"/>
  <c r="DR35" i="7"/>
  <c r="DO23" i="7"/>
  <c r="DO34" i="7" s="1"/>
  <c r="DO29" i="7"/>
  <c r="DP29" i="7"/>
  <c r="DP25" i="7"/>
  <c r="DM29" i="7"/>
  <c r="DK30" i="7"/>
  <c r="DK33" i="7"/>
  <c r="DK35" i="7"/>
  <c r="DK32" i="7"/>
  <c r="DK23" i="7"/>
  <c r="DK25" i="7" s="1"/>
  <c r="DM33" i="7"/>
  <c r="DK31" i="7"/>
  <c r="DJ23" i="7"/>
  <c r="DJ25" i="7" s="1"/>
  <c r="DL29" i="7"/>
  <c r="DL32" i="7"/>
  <c r="DL30" i="7"/>
  <c r="DM23" i="7"/>
  <c r="BU19" i="7"/>
  <c r="BV30" i="7" s="1"/>
  <c r="DK29" i="7"/>
  <c r="DL23" i="7"/>
  <c r="DL35" i="7"/>
  <c r="DL33" i="7"/>
  <c r="DL31" i="7"/>
  <c r="BT21" i="7"/>
  <c r="BU32" i="7" s="1"/>
  <c r="EW30" i="7"/>
  <c r="FE23" i="7"/>
  <c r="FE25" i="7" s="1"/>
  <c r="K23" i="7"/>
  <c r="K25" i="7" s="1"/>
  <c r="BW20" i="7"/>
  <c r="BU24" i="7"/>
  <c r="BU35" i="7" s="1"/>
  <c r="BV18" i="7"/>
  <c r="BV22" i="7"/>
  <c r="BW21" i="7"/>
  <c r="BW22" i="7"/>
  <c r="BU22" i="7"/>
  <c r="BU18" i="7"/>
  <c r="BT19" i="7"/>
  <c r="BT20" i="7"/>
  <c r="BT18" i="7"/>
  <c r="BW24" i="7"/>
  <c r="BW19" i="7"/>
  <c r="BW30" i="7" s="1"/>
  <c r="BV24" i="7"/>
  <c r="BV21" i="7"/>
  <c r="BV32" i="7" s="1"/>
  <c r="BV20" i="7"/>
  <c r="FE29" i="7"/>
  <c r="EY30" i="7"/>
  <c r="BP33" i="7"/>
  <c r="L31" i="7"/>
  <c r="L33" i="7"/>
  <c r="W23" i="7"/>
  <c r="X23" i="7"/>
  <c r="X32" i="7"/>
  <c r="X31" i="7"/>
  <c r="X33" i="7"/>
  <c r="X29" i="7"/>
  <c r="W31" i="7"/>
  <c r="W33" i="7"/>
  <c r="X35" i="7"/>
  <c r="V23" i="7"/>
  <c r="K33" i="7"/>
  <c r="J33" i="7"/>
  <c r="EY31" i="7"/>
  <c r="FE32" i="7"/>
  <c r="FE35" i="7"/>
  <c r="L23" i="7"/>
  <c r="J31" i="7"/>
  <c r="FD23" i="7"/>
  <c r="FD25" i="7" s="1"/>
  <c r="I23" i="7"/>
  <c r="I25" i="7" s="1"/>
  <c r="K31" i="7"/>
  <c r="FE33" i="7"/>
  <c r="J23" i="7"/>
  <c r="EW35" i="7"/>
  <c r="H25" i="7"/>
  <c r="EY35" i="7"/>
  <c r="EW32" i="7"/>
  <c r="EW31" i="7"/>
  <c r="DI29" i="7"/>
  <c r="EW33" i="7"/>
  <c r="EY23" i="7"/>
  <c r="EY33" i="7"/>
  <c r="EY29" i="7"/>
  <c r="EW23" i="7"/>
  <c r="EV23" i="7"/>
  <c r="EV25" i="7" s="1"/>
  <c r="DI30" i="7"/>
  <c r="EU34" i="7"/>
  <c r="EU36" i="7" s="1"/>
  <c r="EU38" i="7" s="1"/>
  <c r="ET34" i="7"/>
  <c r="ET36" i="7" s="1"/>
  <c r="ET38" i="7" s="1"/>
  <c r="ES34" i="7"/>
  <c r="ES36" i="7" s="1"/>
  <c r="ES38" i="7" s="1"/>
  <c r="DC23" i="7"/>
  <c r="DC25" i="7" s="1"/>
  <c r="DG29" i="7"/>
  <c r="DG30" i="7"/>
  <c r="DI32" i="7"/>
  <c r="DI35" i="7"/>
  <c r="DI33" i="7"/>
  <c r="DI31" i="7"/>
  <c r="DI23" i="7"/>
  <c r="DH23" i="7"/>
  <c r="DH25" i="7" s="1"/>
  <c r="DG33" i="7"/>
  <c r="DF33" i="7"/>
  <c r="DG31" i="7"/>
  <c r="EQ34" i="7"/>
  <c r="EP31" i="7"/>
  <c r="EQ32" i="7"/>
  <c r="EP30" i="7"/>
  <c r="DD23" i="7"/>
  <c r="DF30" i="7"/>
  <c r="DG32" i="7"/>
  <c r="DF29" i="7"/>
  <c r="DE23" i="7"/>
  <c r="DE25" i="7" s="1"/>
  <c r="DG35" i="7"/>
  <c r="DB31" i="7"/>
  <c r="DD29" i="7"/>
  <c r="DG23" i="7"/>
  <c r="DG25" i="7" s="1"/>
  <c r="DD33" i="7"/>
  <c r="DF23" i="7"/>
  <c r="DB32" i="7"/>
  <c r="DD35" i="7"/>
  <c r="DD30" i="7"/>
  <c r="EN30" i="7"/>
  <c r="DA23" i="7"/>
  <c r="DA25" i="7" s="1"/>
  <c r="DB23" i="7"/>
  <c r="DB25" i="7" s="1"/>
  <c r="BH33" i="7"/>
  <c r="BH31" i="7"/>
  <c r="EM31" i="7"/>
  <c r="EM29" i="7"/>
  <c r="EQ31" i="7"/>
  <c r="EP29" i="7"/>
  <c r="EQ30" i="7"/>
  <c r="BM30" i="7"/>
  <c r="BM32" i="7"/>
  <c r="BM33" i="7"/>
  <c r="BL31" i="7"/>
  <c r="BM29" i="7"/>
  <c r="BR33" i="7"/>
  <c r="GU32" i="7"/>
  <c r="BK35" i="7"/>
  <c r="GU29" i="7"/>
  <c r="FU29" i="7"/>
  <c r="FV29" i="7"/>
  <c r="BL30" i="7"/>
  <c r="BL32" i="7"/>
  <c r="BL33" i="7"/>
  <c r="FV32" i="7"/>
  <c r="FU31" i="7"/>
  <c r="FV35" i="7"/>
  <c r="BH35" i="7"/>
  <c r="EM32" i="7"/>
  <c r="EN32" i="7"/>
  <c r="EP34" i="7"/>
  <c r="EQ33" i="7"/>
  <c r="EP32" i="7"/>
  <c r="BK30" i="7"/>
  <c r="BK32" i="7"/>
  <c r="BK33" i="7"/>
  <c r="BK31" i="7"/>
  <c r="BK29" i="7"/>
  <c r="BL35" i="7"/>
  <c r="BP32" i="7"/>
  <c r="BP29" i="7"/>
  <c r="BR32" i="7"/>
  <c r="BR35" i="7"/>
  <c r="GU30" i="7"/>
  <c r="FV30" i="7"/>
  <c r="FV31" i="7"/>
  <c r="EM30" i="7"/>
  <c r="EQ29" i="7"/>
  <c r="EP33" i="7"/>
  <c r="BM31" i="7"/>
  <c r="BL29" i="7"/>
  <c r="BM35" i="7"/>
  <c r="BP30" i="7"/>
  <c r="BP31" i="7"/>
  <c r="BR30" i="7"/>
  <c r="BR29" i="7"/>
  <c r="GU31" i="7"/>
  <c r="FQ22" i="7"/>
  <c r="FR19" i="7"/>
  <c r="FV33" i="7"/>
  <c r="BI33" i="7"/>
  <c r="EN31" i="7"/>
  <c r="EN29" i="7"/>
  <c r="BP35" i="7"/>
  <c r="BR31" i="7"/>
  <c r="GU35" i="7"/>
  <c r="BH32" i="7"/>
  <c r="BH29" i="7"/>
  <c r="BH30" i="7"/>
  <c r="BI32" i="7"/>
  <c r="BI29" i="7"/>
  <c r="BI30" i="7"/>
  <c r="BI31" i="7"/>
  <c r="BI35" i="7"/>
  <c r="U34" i="7"/>
  <c r="FA34" i="7"/>
  <c r="FA36" i="7" s="1"/>
  <c r="FA38" i="7" s="1"/>
  <c r="FS19" i="7"/>
  <c r="FQ20" i="7"/>
  <c r="FR24" i="7"/>
  <c r="FR35" i="7" s="1"/>
  <c r="EN35" i="7"/>
  <c r="EN33" i="7"/>
  <c r="FQ21" i="7"/>
  <c r="FR20" i="7"/>
  <c r="FS24" i="7"/>
  <c r="FU23" i="7"/>
  <c r="CZ31" i="7"/>
  <c r="EM33" i="7"/>
  <c r="FQ18" i="7"/>
  <c r="FR29" i="7" s="1"/>
  <c r="FQ19" i="7"/>
  <c r="FR21" i="7"/>
  <c r="FS20" i="7"/>
  <c r="FV23" i="7"/>
  <c r="FS21" i="7"/>
  <c r="FS18" i="7"/>
  <c r="FR22" i="7"/>
  <c r="G34" i="7"/>
  <c r="Q34" i="7"/>
  <c r="Q36" i="7" s="1"/>
  <c r="Q38" i="7" s="1"/>
  <c r="N31" i="7"/>
  <c r="H34" i="7"/>
  <c r="C31" i="7"/>
  <c r="H31" i="7"/>
  <c r="T33" i="7"/>
  <c r="C34" i="7"/>
  <c r="E31" i="7"/>
  <c r="G31" i="7"/>
  <c r="GT23" i="7"/>
  <c r="GT25" i="7" s="1"/>
  <c r="GU22" i="7"/>
  <c r="R23" i="7"/>
  <c r="R25" i="7" s="1"/>
  <c r="BS23" i="7"/>
  <c r="BS25" i="7" s="1"/>
  <c r="BJ23" i="7"/>
  <c r="BJ25" i="7" s="1"/>
  <c r="BR23" i="7"/>
  <c r="BQ23" i="7"/>
  <c r="BQ25" i="7" s="1"/>
  <c r="BP23" i="7"/>
  <c r="BM23" i="7"/>
  <c r="BL23" i="7"/>
  <c r="BK23" i="7"/>
  <c r="EP24" i="7"/>
  <c r="EO24" i="7"/>
  <c r="EO25" i="7" s="1"/>
  <c r="F25" i="7"/>
  <c r="EQ24" i="7"/>
  <c r="G25" i="7"/>
  <c r="EM23" i="7"/>
  <c r="EL23" i="7"/>
  <c r="EL25" i="7" s="1"/>
  <c r="EN23" i="7"/>
  <c r="CZ25" i="7"/>
  <c r="CY23" i="7"/>
  <c r="CY25" i="7" s="1"/>
  <c r="BG23" i="7"/>
  <c r="BG25" i="7" s="1"/>
  <c r="E25" i="7"/>
  <c r="D23" i="7"/>
  <c r="D25" i="7" s="1"/>
  <c r="BH23" i="7"/>
  <c r="BI23" i="7"/>
  <c r="N23" i="7"/>
  <c r="M23" i="7"/>
  <c r="M25" i="7" s="1"/>
  <c r="AV28" i="3"/>
  <c r="AU28" i="3"/>
  <c r="AV13" i="3"/>
  <c r="AU13" i="3"/>
  <c r="AR13" i="3"/>
  <c r="AQ13" i="3"/>
  <c r="E80" i="3"/>
  <c r="M211" i="1"/>
  <c r="F80" i="3"/>
  <c r="AI67" i="3"/>
  <c r="AH67" i="3"/>
  <c r="AI54" i="3"/>
  <c r="AH54" i="3"/>
  <c r="AE67" i="3"/>
  <c r="AD67" i="3"/>
  <c r="AE54" i="3"/>
  <c r="AD54" i="3"/>
  <c r="AA67" i="3"/>
  <c r="Z67" i="3"/>
  <c r="AA45" i="3"/>
  <c r="M198" i="1"/>
  <c r="AA54" i="3"/>
  <c r="V54" i="3"/>
  <c r="W45" i="3"/>
  <c r="W54" i="3" s="1"/>
  <c r="M193" i="1"/>
  <c r="S67" i="3"/>
  <c r="R67" i="3"/>
  <c r="S54" i="3"/>
  <c r="R54" i="3"/>
  <c r="M189" i="1"/>
  <c r="M190" i="1"/>
  <c r="M188" i="1"/>
  <c r="O54" i="3"/>
  <c r="M185" i="1"/>
  <c r="M183" i="1"/>
  <c r="O67" i="3"/>
  <c r="N67" i="3"/>
  <c r="N54" i="3"/>
  <c r="K67" i="3"/>
  <c r="J67" i="3"/>
  <c r="K54" i="3"/>
  <c r="J54" i="3"/>
  <c r="M179" i="1"/>
  <c r="M176" i="1"/>
  <c r="F54" i="3"/>
  <c r="E54" i="3"/>
  <c r="Z27" i="3"/>
  <c r="AA18" i="3"/>
  <c r="AA40" i="3"/>
  <c r="Z40" i="3"/>
  <c r="M168" i="1"/>
  <c r="AA27" i="3"/>
  <c r="AF13" i="3"/>
  <c r="AN13" i="3"/>
  <c r="W40" i="3"/>
  <c r="V40" i="3"/>
  <c r="M166" i="1"/>
  <c r="W27" i="3"/>
  <c r="V27" i="3"/>
  <c r="S27" i="3"/>
  <c r="R27" i="3"/>
  <c r="AD160" i="1"/>
  <c r="AD161" i="1" s="1"/>
  <c r="U161" i="1"/>
  <c r="M161" i="1" s="1"/>
  <c r="O27" i="3"/>
  <c r="N27" i="3"/>
  <c r="O40" i="3"/>
  <c r="N40" i="3"/>
  <c r="AG158" i="1"/>
  <c r="U158" i="1"/>
  <c r="N158" i="1"/>
  <c r="AF158" i="1"/>
  <c r="AB158" i="1"/>
  <c r="X158" i="1"/>
  <c r="T158" i="1"/>
  <c r="P158" i="1"/>
  <c r="AK158" i="1"/>
  <c r="AC158" i="1"/>
  <c r="Q158" i="1"/>
  <c r="AJ158" i="1"/>
  <c r="AM158" i="1"/>
  <c r="AI158" i="1"/>
  <c r="AE158" i="1"/>
  <c r="AA158" i="1"/>
  <c r="W158" i="1"/>
  <c r="S158" i="1"/>
  <c r="O158" i="1"/>
  <c r="Y158" i="1"/>
  <c r="AL158" i="1"/>
  <c r="AH158" i="1"/>
  <c r="AD158" i="1"/>
  <c r="Z158" i="1"/>
  <c r="V158" i="1"/>
  <c r="M156" i="1"/>
  <c r="F40" i="3"/>
  <c r="E40" i="3"/>
  <c r="K40" i="3"/>
  <c r="J40" i="3"/>
  <c r="K27" i="3"/>
  <c r="J27" i="3"/>
  <c r="F27" i="3"/>
  <c r="Z119" i="1"/>
  <c r="AL119" i="1"/>
  <c r="AH119" i="1"/>
  <c r="R119" i="1"/>
  <c r="V119" i="1"/>
  <c r="AD119" i="1"/>
  <c r="AK119" i="1"/>
  <c r="AG119" i="1"/>
  <c r="AC119" i="1"/>
  <c r="Y119" i="1"/>
  <c r="U119" i="1"/>
  <c r="Q119" i="1"/>
  <c r="N119" i="1"/>
  <c r="AJ119" i="1"/>
  <c r="AF119" i="1"/>
  <c r="AB119" i="1"/>
  <c r="X119" i="1"/>
  <c r="T119" i="1"/>
  <c r="P119" i="1"/>
  <c r="AM119" i="1"/>
  <c r="AI119" i="1"/>
  <c r="AE119" i="1"/>
  <c r="AA119" i="1"/>
  <c r="W119" i="1"/>
  <c r="S119" i="1"/>
  <c r="AA13" i="3"/>
  <c r="W13" i="3"/>
  <c r="S13" i="3"/>
  <c r="O13" i="3"/>
  <c r="K13" i="3"/>
  <c r="E13" i="3"/>
  <c r="J13" i="3"/>
  <c r="Z13" i="3"/>
  <c r="R13" i="3"/>
  <c r="V13" i="3"/>
  <c r="F4" i="3"/>
  <c r="F13" i="3" s="1"/>
  <c r="E27" i="3"/>
  <c r="N13" i="3"/>
  <c r="AE13" i="3"/>
  <c r="AM13" i="3"/>
  <c r="AI13" i="3"/>
  <c r="M60" i="1"/>
  <c r="AL61" i="1" s="1"/>
  <c r="AI61" i="1"/>
  <c r="X61" i="1"/>
  <c r="Q61" i="1"/>
  <c r="AG61" i="1"/>
  <c r="V61" i="1"/>
  <c r="N58" i="1"/>
  <c r="M37" i="1"/>
  <c r="AG38" i="1" s="1"/>
  <c r="M35" i="1"/>
  <c r="R38" i="1"/>
  <c r="V38" i="1"/>
  <c r="S38" i="1"/>
  <c r="AE38" i="1"/>
  <c r="X38" i="1"/>
  <c r="U38" i="1"/>
  <c r="AD23" i="1"/>
  <c r="AD24" i="1" s="1"/>
  <c r="Z87" i="1"/>
  <c r="AF103" i="1"/>
  <c r="U25" i="1"/>
  <c r="AA79" i="1"/>
  <c r="O87" i="1"/>
  <c r="Y19" i="1"/>
  <c r="Y20" i="1" s="1"/>
  <c r="R83" i="1"/>
  <c r="AH91" i="1"/>
  <c r="AA111" i="1"/>
  <c r="P103" i="1"/>
  <c r="AJ87" i="1"/>
  <c r="W95" i="1"/>
  <c r="AA85" i="1"/>
  <c r="Z93" i="1"/>
  <c r="W101" i="1"/>
  <c r="R109" i="1"/>
  <c r="S79" i="1"/>
  <c r="N85" i="1"/>
  <c r="X85" i="1"/>
  <c r="AI87" i="1"/>
  <c r="V93" i="1"/>
  <c r="AL101" i="1"/>
  <c r="AE103" i="1"/>
  <c r="AA109" i="1"/>
  <c r="T111" i="1"/>
  <c r="AI79" i="1"/>
  <c r="AH83" i="1"/>
  <c r="AM85" i="1"/>
  <c r="AE85" i="1"/>
  <c r="W85" i="1"/>
  <c r="N87" i="1"/>
  <c r="AE87" i="1"/>
  <c r="T87" i="1"/>
  <c r="AE93" i="1"/>
  <c r="T93" i="1"/>
  <c r="AE95" i="1"/>
  <c r="O95" i="1"/>
  <c r="AE101" i="1"/>
  <c r="O101" i="1"/>
  <c r="X103" i="1"/>
  <c r="Z109" i="1"/>
  <c r="AI111" i="1"/>
  <c r="S111" i="1"/>
  <c r="AI85" i="1"/>
  <c r="S85" i="1"/>
  <c r="AJ93" i="1"/>
  <c r="O93" i="1"/>
  <c r="AM101" i="1"/>
  <c r="AH109" i="1"/>
  <c r="AF85" i="1"/>
  <c r="O85" i="1"/>
  <c r="X87" i="1"/>
  <c r="AF93" i="1"/>
  <c r="AF95" i="1"/>
  <c r="P95" i="1"/>
  <c r="V101" i="1"/>
  <c r="O103" i="1"/>
  <c r="AJ111" i="1"/>
  <c r="Y21" i="1"/>
  <c r="Y22" i="1" s="1"/>
  <c r="M22" i="1" s="1"/>
  <c r="AJ85" i="1"/>
  <c r="AB85" i="1"/>
  <c r="T85" i="1"/>
  <c r="N111" i="1"/>
  <c r="AD87" i="1"/>
  <c r="S87" i="1"/>
  <c r="AL93" i="1"/>
  <c r="AA93" i="1"/>
  <c r="X95" i="1"/>
  <c r="AM103" i="1"/>
  <c r="W103" i="1"/>
  <c r="AI109" i="1"/>
  <c r="AB111" i="1"/>
  <c r="AM77" i="1"/>
  <c r="AD77" i="1"/>
  <c r="Q81" i="1"/>
  <c r="U81" i="1"/>
  <c r="Y81" i="1"/>
  <c r="AC81" i="1"/>
  <c r="AG81" i="1"/>
  <c r="AK81" i="1"/>
  <c r="R81" i="1"/>
  <c r="V81" i="1"/>
  <c r="Z81" i="1"/>
  <c r="AD81" i="1"/>
  <c r="AH81" i="1"/>
  <c r="AL81" i="1"/>
  <c r="R97" i="1"/>
  <c r="V97" i="1"/>
  <c r="Z97" i="1"/>
  <c r="AD97" i="1"/>
  <c r="AH97" i="1"/>
  <c r="AL97" i="1"/>
  <c r="O97" i="1"/>
  <c r="S97" i="1"/>
  <c r="W97" i="1"/>
  <c r="AA97" i="1"/>
  <c r="AE97" i="1"/>
  <c r="AI97" i="1"/>
  <c r="AM97" i="1"/>
  <c r="T97" i="1"/>
  <c r="AB97" i="1"/>
  <c r="AJ97" i="1"/>
  <c r="U97" i="1"/>
  <c r="AC97" i="1"/>
  <c r="AK97" i="1"/>
  <c r="N81" i="1"/>
  <c r="X81" i="1"/>
  <c r="AD89" i="1"/>
  <c r="Q97" i="1"/>
  <c r="AL77" i="1"/>
  <c r="AC77" i="1"/>
  <c r="P79" i="1"/>
  <c r="T79" i="1"/>
  <c r="X79" i="1"/>
  <c r="AB79" i="1"/>
  <c r="AF79" i="1"/>
  <c r="AJ79" i="1"/>
  <c r="N79" i="1"/>
  <c r="Q79" i="1"/>
  <c r="U79" i="1"/>
  <c r="Y79" i="1"/>
  <c r="AC79" i="1"/>
  <c r="AG79" i="1"/>
  <c r="AK79" i="1"/>
  <c r="Z79" i="1"/>
  <c r="R79" i="1"/>
  <c r="O83" i="1"/>
  <c r="S83" i="1"/>
  <c r="W83" i="1"/>
  <c r="AA83" i="1"/>
  <c r="AE83" i="1"/>
  <c r="AI83" i="1"/>
  <c r="AM83" i="1"/>
  <c r="P83" i="1"/>
  <c r="T83" i="1"/>
  <c r="X83" i="1"/>
  <c r="AB83" i="1"/>
  <c r="AF83" i="1"/>
  <c r="AJ83" i="1"/>
  <c r="N83" i="1"/>
  <c r="P91" i="1"/>
  <c r="T91" i="1"/>
  <c r="X91" i="1"/>
  <c r="AB91" i="1"/>
  <c r="AF91" i="1"/>
  <c r="AJ91" i="1"/>
  <c r="S91" i="1"/>
  <c r="Y91" i="1"/>
  <c r="AD91" i="1"/>
  <c r="AI91" i="1"/>
  <c r="O91" i="1"/>
  <c r="U91" i="1"/>
  <c r="Z91" i="1"/>
  <c r="AE91" i="1"/>
  <c r="AK91" i="1"/>
  <c r="N91" i="1"/>
  <c r="O99" i="1"/>
  <c r="S99" i="1"/>
  <c r="W99" i="1"/>
  <c r="AA99" i="1"/>
  <c r="AE99" i="1"/>
  <c r="AI99" i="1"/>
  <c r="AM99" i="1"/>
  <c r="P99" i="1"/>
  <c r="T99" i="1"/>
  <c r="X99" i="1"/>
  <c r="AB99" i="1"/>
  <c r="AF99" i="1"/>
  <c r="AJ99" i="1"/>
  <c r="Q99" i="1"/>
  <c r="Y99" i="1"/>
  <c r="AG99" i="1"/>
  <c r="R99" i="1"/>
  <c r="Z99" i="1"/>
  <c r="AH99" i="1"/>
  <c r="O107" i="1"/>
  <c r="S107" i="1"/>
  <c r="W107" i="1"/>
  <c r="AA107" i="1"/>
  <c r="AE107" i="1"/>
  <c r="AI107" i="1"/>
  <c r="AM107" i="1"/>
  <c r="P107" i="1"/>
  <c r="T107" i="1"/>
  <c r="X107" i="1"/>
  <c r="AB107" i="1"/>
  <c r="AF107" i="1"/>
  <c r="AJ107" i="1"/>
  <c r="U107" i="1"/>
  <c r="AC107" i="1"/>
  <c r="AK107" i="1"/>
  <c r="Y107" i="1"/>
  <c r="V107" i="1"/>
  <c r="AD107" i="1"/>
  <c r="AL107" i="1"/>
  <c r="Q107" i="1"/>
  <c r="AM81" i="1"/>
  <c r="AE81" i="1"/>
  <c r="W81" i="1"/>
  <c r="O81" i="1"/>
  <c r="AG83" i="1"/>
  <c r="Y83" i="1"/>
  <c r="Q83" i="1"/>
  <c r="N99" i="1"/>
  <c r="N89" i="1"/>
  <c r="AC89" i="1"/>
  <c r="R89" i="1"/>
  <c r="AG91" i="1"/>
  <c r="V91" i="1"/>
  <c r="AF97" i="1"/>
  <c r="P97" i="1"/>
  <c r="AC99" i="1"/>
  <c r="X105" i="1"/>
  <c r="AG107" i="1"/>
  <c r="AI77" i="1"/>
  <c r="AM79" i="1"/>
  <c r="AE79" i="1"/>
  <c r="W79" i="1"/>
  <c r="O79" i="1"/>
  <c r="AJ81" i="1"/>
  <c r="AB81" i="1"/>
  <c r="T81" i="1"/>
  <c r="AL83" i="1"/>
  <c r="AD83" i="1"/>
  <c r="V83" i="1"/>
  <c r="N107" i="1"/>
  <c r="AJ89" i="1"/>
  <c r="AM91" i="1"/>
  <c r="AC91" i="1"/>
  <c r="R91" i="1"/>
  <c r="Y97" i="1"/>
  <c r="AL99" i="1"/>
  <c r="V99" i="1"/>
  <c r="AG105" i="1"/>
  <c r="Z107" i="1"/>
  <c r="AI24" i="1"/>
  <c r="AH23" i="1"/>
  <c r="AH24" i="1" s="1"/>
  <c r="O77" i="1"/>
  <c r="N77" i="1"/>
  <c r="Q77" i="1"/>
  <c r="Y77" i="1"/>
  <c r="AF77" i="1"/>
  <c r="AJ77" i="1"/>
  <c r="R77" i="1"/>
  <c r="Z77" i="1"/>
  <c r="AG77" i="1"/>
  <c r="AK77" i="1"/>
  <c r="O89" i="1"/>
  <c r="S89" i="1"/>
  <c r="W89" i="1"/>
  <c r="AA89" i="1"/>
  <c r="AE89" i="1"/>
  <c r="AI89" i="1"/>
  <c r="AM89" i="1"/>
  <c r="P89" i="1"/>
  <c r="U89" i="1"/>
  <c r="Z89" i="1"/>
  <c r="AF89" i="1"/>
  <c r="AK89" i="1"/>
  <c r="Q89" i="1"/>
  <c r="V89" i="1"/>
  <c r="AB89" i="1"/>
  <c r="AG89" i="1"/>
  <c r="AL89" i="1"/>
  <c r="R105" i="1"/>
  <c r="V105" i="1"/>
  <c r="Z105" i="1"/>
  <c r="AD105" i="1"/>
  <c r="AH105" i="1"/>
  <c r="AL105" i="1"/>
  <c r="O105" i="1"/>
  <c r="S105" i="1"/>
  <c r="W105" i="1"/>
  <c r="AA105" i="1"/>
  <c r="AE105" i="1"/>
  <c r="AI105" i="1"/>
  <c r="AM105" i="1"/>
  <c r="T105" i="1"/>
  <c r="AB105" i="1"/>
  <c r="AJ105" i="1"/>
  <c r="N105" i="1"/>
  <c r="U105" i="1"/>
  <c r="AC105" i="1"/>
  <c r="AK105" i="1"/>
  <c r="AF81" i="1"/>
  <c r="P81" i="1"/>
  <c r="N97" i="1"/>
  <c r="T89" i="1"/>
  <c r="AG97" i="1"/>
  <c r="Y105" i="1"/>
  <c r="AH77" i="1"/>
  <c r="U77" i="1"/>
  <c r="AL79" i="1"/>
  <c r="AD79" i="1"/>
  <c r="V79" i="1"/>
  <c r="AI81" i="1"/>
  <c r="AA81" i="1"/>
  <c r="S81" i="1"/>
  <c r="AK83" i="1"/>
  <c r="AC83" i="1"/>
  <c r="U83" i="1"/>
  <c r="AH89" i="1"/>
  <c r="X89" i="1"/>
  <c r="AL91" i="1"/>
  <c r="AA91" i="1"/>
  <c r="Q91" i="1"/>
  <c r="X97" i="1"/>
  <c r="AK99" i="1"/>
  <c r="U99" i="1"/>
  <c r="AF105" i="1"/>
  <c r="P105" i="1"/>
  <c r="R107" i="1"/>
  <c r="Q93" i="1"/>
  <c r="U93" i="1"/>
  <c r="Y93" i="1"/>
  <c r="AC93" i="1"/>
  <c r="AG93" i="1"/>
  <c r="AK93" i="1"/>
  <c r="N93" i="1"/>
  <c r="P101" i="1"/>
  <c r="T101" i="1"/>
  <c r="X101" i="1"/>
  <c r="AB101" i="1"/>
  <c r="AF101" i="1"/>
  <c r="AJ101" i="1"/>
  <c r="Q101" i="1"/>
  <c r="U101" i="1"/>
  <c r="Y101" i="1"/>
  <c r="AC101" i="1"/>
  <c r="AG101" i="1"/>
  <c r="AK101" i="1"/>
  <c r="N101" i="1"/>
  <c r="P109" i="1"/>
  <c r="T109" i="1"/>
  <c r="X109" i="1"/>
  <c r="AB109" i="1"/>
  <c r="AF109" i="1"/>
  <c r="AJ109" i="1"/>
  <c r="Q109" i="1"/>
  <c r="U109" i="1"/>
  <c r="Y109" i="1"/>
  <c r="AC109" i="1"/>
  <c r="AG109" i="1"/>
  <c r="AK109" i="1"/>
  <c r="N109" i="1"/>
  <c r="AL85" i="1"/>
  <c r="AH85" i="1"/>
  <c r="AD85" i="1"/>
  <c r="Z85" i="1"/>
  <c r="V85" i="1"/>
  <c r="R85" i="1"/>
  <c r="N103" i="1"/>
  <c r="AM87" i="1"/>
  <c r="AH87" i="1"/>
  <c r="AB87" i="1"/>
  <c r="W87" i="1"/>
  <c r="AI93" i="1"/>
  <c r="AD93" i="1"/>
  <c r="X93" i="1"/>
  <c r="S93" i="1"/>
  <c r="AI95" i="1"/>
  <c r="AB95" i="1"/>
  <c r="T95" i="1"/>
  <c r="AI101" i="1"/>
  <c r="AA101" i="1"/>
  <c r="S101" i="1"/>
  <c r="AJ103" i="1"/>
  <c r="AB103" i="1"/>
  <c r="AM109" i="1"/>
  <c r="AE109" i="1"/>
  <c r="W109" i="1"/>
  <c r="O109" i="1"/>
  <c r="AF111" i="1"/>
  <c r="X111" i="1"/>
  <c r="Q87" i="1"/>
  <c r="U87" i="1"/>
  <c r="Y87" i="1"/>
  <c r="AC87" i="1"/>
  <c r="AG87" i="1"/>
  <c r="AK87" i="1"/>
  <c r="AM95" i="1"/>
  <c r="Q95" i="1"/>
  <c r="U95" i="1"/>
  <c r="Y95" i="1"/>
  <c r="AC95" i="1"/>
  <c r="AJ95" i="1"/>
  <c r="R95" i="1"/>
  <c r="V95" i="1"/>
  <c r="Z95" i="1"/>
  <c r="AD95" i="1"/>
  <c r="AH95" i="1"/>
  <c r="Q103" i="1"/>
  <c r="U103" i="1"/>
  <c r="Y103" i="1"/>
  <c r="AC103" i="1"/>
  <c r="AG103" i="1"/>
  <c r="AK103" i="1"/>
  <c r="R103" i="1"/>
  <c r="V103" i="1"/>
  <c r="Z103" i="1"/>
  <c r="AD103" i="1"/>
  <c r="AH103" i="1"/>
  <c r="AL103" i="1"/>
  <c r="Q111" i="1"/>
  <c r="U111" i="1"/>
  <c r="Y111" i="1"/>
  <c r="AC111" i="1"/>
  <c r="AG111" i="1"/>
  <c r="AK111" i="1"/>
  <c r="R111" i="1"/>
  <c r="V111" i="1"/>
  <c r="Z111" i="1"/>
  <c r="AD111" i="1"/>
  <c r="AH111" i="1"/>
  <c r="AL111" i="1"/>
  <c r="AK85" i="1"/>
  <c r="AG85" i="1"/>
  <c r="AC85" i="1"/>
  <c r="Y85" i="1"/>
  <c r="U85" i="1"/>
  <c r="Q85" i="1"/>
  <c r="N95" i="1"/>
  <c r="AL87" i="1"/>
  <c r="AF87" i="1"/>
  <c r="AA87" i="1"/>
  <c r="V87" i="1"/>
  <c r="P87" i="1"/>
  <c r="AM93" i="1"/>
  <c r="AH93" i="1"/>
  <c r="AB93" i="1"/>
  <c r="W93" i="1"/>
  <c r="R93" i="1"/>
  <c r="AG95" i="1"/>
  <c r="AA95" i="1"/>
  <c r="S95" i="1"/>
  <c r="AK95" i="1"/>
  <c r="AH101" i="1"/>
  <c r="Z101" i="1"/>
  <c r="R101" i="1"/>
  <c r="AI103" i="1"/>
  <c r="AA103" i="1"/>
  <c r="S103" i="1"/>
  <c r="AL109" i="1"/>
  <c r="AD109" i="1"/>
  <c r="V109" i="1"/>
  <c r="AM111" i="1"/>
  <c r="AE111" i="1"/>
  <c r="W111" i="1"/>
  <c r="O111" i="1"/>
  <c r="AB77" i="1"/>
  <c r="X77" i="1"/>
  <c r="T77" i="1"/>
  <c r="P77" i="1"/>
  <c r="AE77" i="1"/>
  <c r="AA77" i="1"/>
  <c r="W77" i="1"/>
  <c r="S77" i="1"/>
  <c r="M20" i="1"/>
  <c r="U27" i="1"/>
  <c r="M41" i="1"/>
  <c r="AH42" i="1" s="1"/>
  <c r="N25" i="1"/>
  <c r="N27" i="1"/>
  <c r="AH25" i="1"/>
  <c r="N5" i="1"/>
  <c r="M5" i="1" s="1"/>
  <c r="O6" i="1" s="1"/>
  <c r="M7" i="1"/>
  <c r="U8" i="1" s="1"/>
  <c r="M9" i="1"/>
  <c r="Y10" i="1" s="1"/>
  <c r="M3" i="1"/>
  <c r="M63" i="1"/>
  <c r="M39" i="1"/>
  <c r="N40" i="1" s="1"/>
  <c r="M33" i="1"/>
  <c r="M15" i="1"/>
  <c r="N16" i="1" s="1"/>
  <c r="M47" i="1"/>
  <c r="M29" i="1"/>
  <c r="V30" i="1" s="1"/>
  <c r="M11" i="1"/>
  <c r="V12" i="1" s="1"/>
  <c r="M43" i="1"/>
  <c r="JC35" i="7" l="1"/>
  <c r="HY36" i="7"/>
  <c r="HY38" i="7" s="1"/>
  <c r="FM34" i="7"/>
  <c r="FM36" i="7" s="1"/>
  <c r="FM38" i="7" s="1"/>
  <c r="IZ36" i="7"/>
  <c r="IZ38" i="7" s="1"/>
  <c r="IX34" i="7"/>
  <c r="JC29" i="7"/>
  <c r="IV36" i="7"/>
  <c r="IV38" i="7" s="1"/>
  <c r="IX36" i="7"/>
  <c r="IX38" i="7" s="1"/>
  <c r="HW36" i="7"/>
  <c r="HW38" i="7" s="1"/>
  <c r="IC36" i="7"/>
  <c r="IC38" i="7" s="1"/>
  <c r="JC33" i="7"/>
  <c r="JC20" i="7"/>
  <c r="JC23" i="7" s="1"/>
  <c r="HQ36" i="7"/>
  <c r="HQ38" i="7" s="1"/>
  <c r="HS34" i="7"/>
  <c r="HS36" i="7" s="1"/>
  <c r="HS38" i="7" s="1"/>
  <c r="IN36" i="7"/>
  <c r="IN38" i="7" s="1"/>
  <c r="HG34" i="7"/>
  <c r="HG36" i="7" s="1"/>
  <c r="HG38" i="7" s="1"/>
  <c r="HU34" i="7"/>
  <c r="HU36" i="7" s="1"/>
  <c r="HU38" i="7" s="1"/>
  <c r="IT36" i="7"/>
  <c r="IT38" i="7" s="1"/>
  <c r="HA36" i="7"/>
  <c r="HA38" i="7" s="1"/>
  <c r="IA36" i="7"/>
  <c r="IA38" i="7" s="1"/>
  <c r="HX25" i="7"/>
  <c r="IP36" i="7"/>
  <c r="IP38" i="7" s="1"/>
  <c r="HE34" i="7"/>
  <c r="HE36" i="7" s="1"/>
  <c r="HE38" i="7" s="1"/>
  <c r="IE34" i="7"/>
  <c r="IE36" i="7" s="1"/>
  <c r="IE38" i="7" s="1"/>
  <c r="HV25" i="7"/>
  <c r="CG30" i="7"/>
  <c r="HC34" i="7"/>
  <c r="HC36" i="7" s="1"/>
  <c r="HC38" i="7" s="1"/>
  <c r="JB23" i="7"/>
  <c r="IG36" i="7"/>
  <c r="IG38" i="7" s="1"/>
  <c r="HI34" i="7"/>
  <c r="HI36" i="7" s="1"/>
  <c r="HI38" i="7" s="1"/>
  <c r="HL25" i="7"/>
  <c r="HM34" i="7"/>
  <c r="HM36" i="7" s="1"/>
  <c r="HM38" i="7" s="1"/>
  <c r="HB25" i="7"/>
  <c r="HO34" i="7"/>
  <c r="HO36" i="7" s="1"/>
  <c r="HO38" i="7" s="1"/>
  <c r="HN25" i="7"/>
  <c r="HK34" i="7"/>
  <c r="HK36" i="7" s="1"/>
  <c r="HK38" i="7" s="1"/>
  <c r="HJ25" i="7"/>
  <c r="HH25" i="7"/>
  <c r="HE25" i="7"/>
  <c r="O201" i="2"/>
  <c r="X195" i="2"/>
  <c r="AJ195" i="2"/>
  <c r="X191" i="2"/>
  <c r="AJ191" i="2"/>
  <c r="AM195" i="2"/>
  <c r="AG191" i="2"/>
  <c r="AA191" i="2"/>
  <c r="AG196" i="2"/>
  <c r="AM194" i="2"/>
  <c r="AD198" i="2"/>
  <c r="X194" i="2"/>
  <c r="X198" i="2"/>
  <c r="AG197" i="2"/>
  <c r="AA197" i="2"/>
  <c r="X197" i="2"/>
  <c r="U196" i="2"/>
  <c r="R192" i="2"/>
  <c r="R193" i="2"/>
  <c r="O198" i="2"/>
  <c r="AM191" i="2"/>
  <c r="AD195" i="2"/>
  <c r="X192" i="2"/>
  <c r="AD196" i="2"/>
  <c r="AJ198" i="2"/>
  <c r="AD194" i="2"/>
  <c r="AM192" i="2"/>
  <c r="AM197" i="2"/>
  <c r="AG193" i="2"/>
  <c r="AA193" i="2"/>
  <c r="AA196" i="2"/>
  <c r="X193" i="2"/>
  <c r="AJ196" i="2"/>
  <c r="AD191" i="2"/>
  <c r="AM196" i="2"/>
  <c r="AA192" i="2"/>
  <c r="AG198" i="2"/>
  <c r="AG192" i="2"/>
  <c r="AM193" i="2"/>
  <c r="AD197" i="2"/>
  <c r="AJ197" i="2"/>
  <c r="CH33" i="7"/>
  <c r="X34" i="7"/>
  <c r="X36" i="7" s="1"/>
  <c r="X38" i="7" s="1"/>
  <c r="FT23" i="7"/>
  <c r="FT25" i="7" s="1"/>
  <c r="BU33" i="7"/>
  <c r="CG33" i="7"/>
  <c r="BU29" i="7"/>
  <c r="X203" i="2"/>
  <c r="R198" i="2"/>
  <c r="U197" i="2"/>
  <c r="R196" i="2"/>
  <c r="R194" i="2"/>
  <c r="U191" i="2"/>
  <c r="O197" i="2"/>
  <c r="O193" i="2"/>
  <c r="O194" i="2"/>
  <c r="O203" i="2"/>
  <c r="U203" i="2"/>
  <c r="AE34" i="7"/>
  <c r="AE36" i="7" s="1"/>
  <c r="AE38" i="7" s="1"/>
  <c r="W25" i="7"/>
  <c r="W34" i="7"/>
  <c r="W36" i="7" s="1"/>
  <c r="W38" i="7" s="1"/>
  <c r="DF25" i="7"/>
  <c r="DF34" i="7"/>
  <c r="DF36" i="7" s="1"/>
  <c r="DF38" i="7" s="1"/>
  <c r="CG35" i="7"/>
  <c r="CF23" i="7"/>
  <c r="CF25" i="7" s="1"/>
  <c r="CG23" i="7"/>
  <c r="CG25" i="7" s="1"/>
  <c r="CG31" i="7"/>
  <c r="CG29" i="7"/>
  <c r="CH23" i="7"/>
  <c r="CH29" i="7"/>
  <c r="CH30" i="7"/>
  <c r="CD32" i="7"/>
  <c r="CS36" i="7"/>
  <c r="CS38" i="7" s="1"/>
  <c r="CE32" i="7"/>
  <c r="CE31" i="7"/>
  <c r="CD29" i="7"/>
  <c r="CD35" i="7"/>
  <c r="CE35" i="7"/>
  <c r="CE23" i="7"/>
  <c r="CE25" i="7" s="1"/>
  <c r="CE30" i="7"/>
  <c r="CE29" i="7"/>
  <c r="CD23" i="7"/>
  <c r="CC22" i="7"/>
  <c r="CD33" i="7" s="1"/>
  <c r="CD31" i="7"/>
  <c r="CB29" i="7"/>
  <c r="AZ30" i="7"/>
  <c r="BB35" i="7"/>
  <c r="CV38" i="7"/>
  <c r="CU34" i="7"/>
  <c r="CU36" i="7" s="1"/>
  <c r="CU38" i="7" s="1"/>
  <c r="CU25" i="7"/>
  <c r="AY23" i="7"/>
  <c r="AY25" i="7" s="1"/>
  <c r="BB25" i="7"/>
  <c r="BB30" i="7"/>
  <c r="BA22" i="7"/>
  <c r="BB33" i="7" s="1"/>
  <c r="BB32" i="7"/>
  <c r="GR23" i="7"/>
  <c r="GR25" i="7" s="1"/>
  <c r="GR33" i="7"/>
  <c r="FH31" i="7"/>
  <c r="AZ23" i="7"/>
  <c r="AZ34" i="7" s="1"/>
  <c r="AZ29" i="7"/>
  <c r="FH32" i="7"/>
  <c r="FG31" i="7"/>
  <c r="FI30" i="7"/>
  <c r="FG33" i="7"/>
  <c r="AW33" i="7"/>
  <c r="AX31" i="7"/>
  <c r="FG23" i="7"/>
  <c r="FG29" i="7"/>
  <c r="FI29" i="7"/>
  <c r="FI23" i="7"/>
  <c r="FH30" i="7"/>
  <c r="FG32" i="7"/>
  <c r="FF23" i="7"/>
  <c r="FF25" i="7" s="1"/>
  <c r="FH33" i="7"/>
  <c r="FH23" i="7"/>
  <c r="FH25" i="7" s="1"/>
  <c r="FH29" i="7"/>
  <c r="FI33" i="7"/>
  <c r="FI32" i="7"/>
  <c r="FG30" i="7"/>
  <c r="FI31" i="7"/>
  <c r="AV23" i="7"/>
  <c r="AV25" i="7" s="1"/>
  <c r="AW35" i="7"/>
  <c r="FR32" i="7"/>
  <c r="AW30" i="7"/>
  <c r="AX29" i="7"/>
  <c r="AX23" i="7"/>
  <c r="AW29" i="7"/>
  <c r="AW23" i="7"/>
  <c r="CM36" i="7"/>
  <c r="CM38" i="7" s="1"/>
  <c r="AX35" i="7"/>
  <c r="AX30" i="7"/>
  <c r="BZ23" i="7"/>
  <c r="BZ25" i="7" s="1"/>
  <c r="CO34" i="7"/>
  <c r="CO36" i="7" s="1"/>
  <c r="CO38" i="7" s="1"/>
  <c r="CP34" i="7"/>
  <c r="CP36" i="7" s="1"/>
  <c r="CP38" i="7" s="1"/>
  <c r="CP25" i="7"/>
  <c r="CO25" i="7"/>
  <c r="CN25" i="7"/>
  <c r="CB30" i="7"/>
  <c r="CA30" i="7"/>
  <c r="CA23" i="7"/>
  <c r="CA25" i="7" s="1"/>
  <c r="CA29" i="7"/>
  <c r="CA31" i="7"/>
  <c r="CB31" i="7"/>
  <c r="CA33" i="7"/>
  <c r="CB33" i="7"/>
  <c r="CA35" i="7"/>
  <c r="CB35" i="7"/>
  <c r="BX25" i="7"/>
  <c r="BY34" i="7"/>
  <c r="BY36" i="7" s="1"/>
  <c r="BY38" i="7" s="1"/>
  <c r="AU34" i="7"/>
  <c r="AU36" i="7" s="1"/>
  <c r="AU38" i="7" s="1"/>
  <c r="AR33" i="7"/>
  <c r="AR36" i="7" s="1"/>
  <c r="AR38" i="7" s="1"/>
  <c r="AT34" i="7"/>
  <c r="AT36" i="7" s="1"/>
  <c r="AT38" i="7" s="1"/>
  <c r="AU25" i="7"/>
  <c r="AQ33" i="7"/>
  <c r="AQ36" i="7" s="1"/>
  <c r="AQ38" i="7" s="1"/>
  <c r="Z34" i="7"/>
  <c r="Z36" i="7" s="1"/>
  <c r="Z38" i="7" s="1"/>
  <c r="AR25" i="7"/>
  <c r="AQ25" i="7"/>
  <c r="AN34" i="7"/>
  <c r="AN36" i="7" s="1"/>
  <c r="AN38" i="7" s="1"/>
  <c r="AO34" i="7"/>
  <c r="AO36" i="7" s="1"/>
  <c r="AO38" i="7" s="1"/>
  <c r="AM25" i="7"/>
  <c r="AI34" i="7"/>
  <c r="AI36" i="7" s="1"/>
  <c r="AI38" i="7" s="1"/>
  <c r="AH34" i="7"/>
  <c r="AH36" i="7" s="1"/>
  <c r="AH38" i="7" s="1"/>
  <c r="AI25" i="7"/>
  <c r="AD34" i="7"/>
  <c r="AD36" i="7" s="1"/>
  <c r="AD38" i="7" s="1"/>
  <c r="AF34" i="7"/>
  <c r="AF36" i="7" s="1"/>
  <c r="AF38" i="7" s="1"/>
  <c r="AE25" i="7"/>
  <c r="AF25" i="7"/>
  <c r="DZ31" i="7"/>
  <c r="AD25" i="7"/>
  <c r="AA34" i="7"/>
  <c r="AA36" i="7" s="1"/>
  <c r="AA38" i="7" s="1"/>
  <c r="Z25" i="7"/>
  <c r="AB34" i="7"/>
  <c r="AB36" i="7" s="1"/>
  <c r="AB38" i="7" s="1"/>
  <c r="BV31" i="7"/>
  <c r="EA31" i="7"/>
  <c r="DU36" i="7"/>
  <c r="DU38" i="7" s="1"/>
  <c r="EA30" i="7"/>
  <c r="DY23" i="7"/>
  <c r="DY25" i="7" s="1"/>
  <c r="DZ30" i="7"/>
  <c r="DZ29" i="7"/>
  <c r="EA32" i="7"/>
  <c r="BU31" i="7"/>
  <c r="ED34" i="7"/>
  <c r="ED36" i="7" s="1"/>
  <c r="ED38" i="7" s="1"/>
  <c r="EC38" i="7"/>
  <c r="EC25" i="7"/>
  <c r="ED25" i="7"/>
  <c r="DZ32" i="7"/>
  <c r="DZ33" i="7"/>
  <c r="DZ23" i="7"/>
  <c r="EA29" i="7"/>
  <c r="EA23" i="7"/>
  <c r="DV36" i="7"/>
  <c r="DV38" i="7" s="1"/>
  <c r="DO36" i="7"/>
  <c r="DO38" i="7" s="1"/>
  <c r="DV25" i="7"/>
  <c r="DR36" i="7"/>
  <c r="DR38" i="7" s="1"/>
  <c r="DP34" i="7"/>
  <c r="DP36" i="7" s="1"/>
  <c r="DP38" i="7" s="1"/>
  <c r="DO25" i="7"/>
  <c r="BU30" i="7"/>
  <c r="DL34" i="7"/>
  <c r="DL36" i="7" s="1"/>
  <c r="DL38" i="7" s="1"/>
  <c r="BU23" i="7"/>
  <c r="DM34" i="7"/>
  <c r="DM36" i="7" s="1"/>
  <c r="DM38" i="7" s="1"/>
  <c r="DL25" i="7"/>
  <c r="DK34" i="7"/>
  <c r="DK36" i="7" s="1"/>
  <c r="DK38" i="7" s="1"/>
  <c r="DM25" i="7"/>
  <c r="K34" i="7"/>
  <c r="K36" i="7" s="1"/>
  <c r="K38" i="7" s="1"/>
  <c r="L34" i="7"/>
  <c r="L36" i="7" s="1"/>
  <c r="L38" i="7" s="1"/>
  <c r="BV33" i="7"/>
  <c r="BV29" i="7"/>
  <c r="BW33" i="7"/>
  <c r="BT23" i="7"/>
  <c r="BT25" i="7" s="1"/>
  <c r="BW23" i="7"/>
  <c r="BW25" i="7" s="1"/>
  <c r="BW35" i="7"/>
  <c r="BV23" i="7"/>
  <c r="BV35" i="7"/>
  <c r="BW32" i="7"/>
  <c r="BW31" i="7"/>
  <c r="BW29" i="7"/>
  <c r="X25" i="7"/>
  <c r="V25" i="7"/>
  <c r="J25" i="7"/>
  <c r="L25" i="7"/>
  <c r="FE34" i="7"/>
  <c r="FE36" i="7" s="1"/>
  <c r="FE38" i="7" s="1"/>
  <c r="J34" i="7"/>
  <c r="J36" i="7" s="1"/>
  <c r="J38" i="7" s="1"/>
  <c r="EY34" i="7"/>
  <c r="EY36" i="7" s="1"/>
  <c r="EY38" i="7" s="1"/>
  <c r="EY25" i="7"/>
  <c r="EW25" i="7"/>
  <c r="EW34" i="7"/>
  <c r="EW36" i="7" s="1"/>
  <c r="EW38" i="7" s="1"/>
  <c r="DD34" i="7"/>
  <c r="DD36" i="7" s="1"/>
  <c r="DD38" i="7" s="1"/>
  <c r="DD25" i="7"/>
  <c r="DI34" i="7"/>
  <c r="DI36" i="7" s="1"/>
  <c r="DI38" i="7" s="1"/>
  <c r="DI25" i="7"/>
  <c r="U36" i="7"/>
  <c r="U38" i="7" s="1"/>
  <c r="FR31" i="7"/>
  <c r="FR33" i="7"/>
  <c r="DG34" i="7"/>
  <c r="DG36" i="7" s="1"/>
  <c r="DG38" i="7" s="1"/>
  <c r="FS23" i="7"/>
  <c r="FS25" i="7" s="1"/>
  <c r="DB34" i="7"/>
  <c r="DB36" i="7" s="1"/>
  <c r="DB38" i="7" s="1"/>
  <c r="H36" i="7"/>
  <c r="H38" i="7" s="1"/>
  <c r="FR30" i="7"/>
  <c r="G36" i="7"/>
  <c r="G38" i="7" s="1"/>
  <c r="FR23" i="7"/>
  <c r="FR25" i="7" s="1"/>
  <c r="EM25" i="7"/>
  <c r="EM34" i="7"/>
  <c r="EM36" i="7" s="1"/>
  <c r="EM38" i="7" s="1"/>
  <c r="BL25" i="7"/>
  <c r="BL34" i="7"/>
  <c r="BL36" i="7" s="1"/>
  <c r="BL38" i="7" s="1"/>
  <c r="BO25" i="7"/>
  <c r="FV25" i="7"/>
  <c r="FV34" i="7"/>
  <c r="FV36" i="7" s="1"/>
  <c r="FV38" i="7" s="1"/>
  <c r="BM25" i="7"/>
  <c r="BM34" i="7"/>
  <c r="BM36" i="7" s="1"/>
  <c r="BM38" i="7" s="1"/>
  <c r="GU23" i="7"/>
  <c r="GU33" i="7"/>
  <c r="EN25" i="7"/>
  <c r="EN34" i="7"/>
  <c r="EN36" i="7" s="1"/>
  <c r="EN38" i="7" s="1"/>
  <c r="EP25" i="7"/>
  <c r="EP35" i="7"/>
  <c r="EP36" i="7" s="1"/>
  <c r="EP38" i="7" s="1"/>
  <c r="BP25" i="7"/>
  <c r="BP34" i="7"/>
  <c r="BP36" i="7" s="1"/>
  <c r="BP38" i="7" s="1"/>
  <c r="BR25" i="7"/>
  <c r="BR34" i="7"/>
  <c r="BR36" i="7" s="1"/>
  <c r="BR38" i="7" s="1"/>
  <c r="C36" i="7"/>
  <c r="C38" i="7" s="1"/>
  <c r="EQ25" i="7"/>
  <c r="EQ35" i="7"/>
  <c r="EQ36" i="7" s="1"/>
  <c r="EQ38" i="7" s="1"/>
  <c r="BK25" i="7"/>
  <c r="BK34" i="7"/>
  <c r="BK36" i="7" s="1"/>
  <c r="BK38" i="7" s="1"/>
  <c r="T36" i="7"/>
  <c r="T38" i="7" s="1"/>
  <c r="FU25" i="7"/>
  <c r="CZ34" i="7"/>
  <c r="CZ36" i="7" s="1"/>
  <c r="CZ38" i="7" s="1"/>
  <c r="FQ23" i="7"/>
  <c r="FQ25" i="7" s="1"/>
  <c r="BI25" i="7"/>
  <c r="BI34" i="7"/>
  <c r="BI36" i="7" s="1"/>
  <c r="BI38" i="7" s="1"/>
  <c r="BH25" i="7"/>
  <c r="BH34" i="7"/>
  <c r="BH36" i="7" s="1"/>
  <c r="BH38" i="7" s="1"/>
  <c r="N25" i="7"/>
  <c r="N34" i="7"/>
  <c r="N36" i="7" s="1"/>
  <c r="N38" i="7" s="1"/>
  <c r="E34" i="7"/>
  <c r="E36" i="7" s="1"/>
  <c r="E38" i="7" s="1"/>
  <c r="Y174" i="1"/>
  <c r="AC174" i="1"/>
  <c r="AG174" i="1"/>
  <c r="AK174" i="1"/>
  <c r="R174" i="1"/>
  <c r="V174" i="1"/>
  <c r="Z174" i="1"/>
  <c r="AH174" i="1"/>
  <c r="AL174" i="1"/>
  <c r="O174" i="1"/>
  <c r="S174" i="1"/>
  <c r="W174" i="1"/>
  <c r="AA174" i="1"/>
  <c r="AE174" i="1"/>
  <c r="AI174" i="1"/>
  <c r="AM174" i="1"/>
  <c r="U174" i="1"/>
  <c r="P174" i="1"/>
  <c r="T174" i="1"/>
  <c r="X174" i="1"/>
  <c r="AB174" i="1"/>
  <c r="AF174" i="1"/>
  <c r="AJ174" i="1"/>
  <c r="Q174" i="1"/>
  <c r="AD174" i="1"/>
  <c r="M158" i="1"/>
  <c r="T38" i="1"/>
  <c r="O38" i="1"/>
  <c r="Y38" i="1"/>
  <c r="AH61" i="1"/>
  <c r="R61" i="1"/>
  <c r="AC61" i="1"/>
  <c r="AJ61" i="1"/>
  <c r="T61" i="1"/>
  <c r="AE61" i="1"/>
  <c r="AM38" i="1"/>
  <c r="AH38" i="1"/>
  <c r="AD61" i="1"/>
  <c r="N61" i="1"/>
  <c r="M61" i="1" s="1"/>
  <c r="Y61" i="1"/>
  <c r="AF61" i="1"/>
  <c r="P61" i="1"/>
  <c r="AA61" i="1"/>
  <c r="Z61" i="1"/>
  <c r="AK61" i="1"/>
  <c r="U61" i="1"/>
  <c r="AB61" i="1"/>
  <c r="AM61" i="1"/>
  <c r="S61" i="1"/>
  <c r="M119" i="1"/>
  <c r="AB38" i="1"/>
  <c r="AI38" i="1"/>
  <c r="AL38" i="1"/>
  <c r="AC38" i="1"/>
  <c r="O61" i="1"/>
  <c r="W61" i="1"/>
  <c r="M111" i="1"/>
  <c r="M95" i="1"/>
  <c r="M79" i="1"/>
  <c r="AJ38" i="1"/>
  <c r="P38" i="1"/>
  <c r="AA38" i="1"/>
  <c r="AF38" i="1"/>
  <c r="AD38" i="1"/>
  <c r="AK38" i="1"/>
  <c r="Q38" i="1"/>
  <c r="M58" i="1"/>
  <c r="M89" i="1"/>
  <c r="W38" i="1"/>
  <c r="N38" i="1"/>
  <c r="M38" i="1" s="1"/>
  <c r="Z38" i="1"/>
  <c r="M77" i="1"/>
  <c r="M103" i="1"/>
  <c r="M99" i="1"/>
  <c r="M91" i="1"/>
  <c r="P34" i="1"/>
  <c r="T34" i="1"/>
  <c r="X34" i="1"/>
  <c r="AB34" i="1"/>
  <c r="AF34" i="1"/>
  <c r="AJ34" i="1"/>
  <c r="N34" i="1"/>
  <c r="Q34" i="1"/>
  <c r="Y34" i="1"/>
  <c r="AC34" i="1"/>
  <c r="AG34" i="1"/>
  <c r="AK34" i="1"/>
  <c r="R34" i="1"/>
  <c r="V34" i="1"/>
  <c r="Z34" i="1"/>
  <c r="AD34" i="1"/>
  <c r="AH34" i="1"/>
  <c r="AL34" i="1"/>
  <c r="O34" i="1"/>
  <c r="S34" i="1"/>
  <c r="W34" i="1"/>
  <c r="AA34" i="1"/>
  <c r="AE34" i="1"/>
  <c r="AI34" i="1"/>
  <c r="AM34" i="1"/>
  <c r="U34" i="1"/>
  <c r="P36" i="1"/>
  <c r="T36" i="1"/>
  <c r="X36" i="1"/>
  <c r="AB36" i="1"/>
  <c r="AF36" i="1"/>
  <c r="AJ36" i="1"/>
  <c r="Q36" i="1"/>
  <c r="Y36" i="1"/>
  <c r="AC36" i="1"/>
  <c r="AG36" i="1"/>
  <c r="AK36" i="1"/>
  <c r="R36" i="1"/>
  <c r="V36" i="1"/>
  <c r="Z36" i="1"/>
  <c r="AD36" i="1"/>
  <c r="AH36" i="1"/>
  <c r="AL36" i="1"/>
  <c r="N36" i="1"/>
  <c r="O36" i="1"/>
  <c r="S36" i="1"/>
  <c r="W36" i="1"/>
  <c r="AA36" i="1"/>
  <c r="AE36" i="1"/>
  <c r="AI36" i="1"/>
  <c r="AM36" i="1"/>
  <c r="U36" i="1"/>
  <c r="Q30" i="1"/>
  <c r="U30" i="1"/>
  <c r="AC30" i="1"/>
  <c r="AK30" i="1"/>
  <c r="AL30" i="1"/>
  <c r="R30" i="1"/>
  <c r="Z30" i="1"/>
  <c r="AM30" i="1"/>
  <c r="S30" i="1"/>
  <c r="W30" i="1"/>
  <c r="AA30" i="1"/>
  <c r="AE30" i="1"/>
  <c r="AI30" i="1"/>
  <c r="N30" i="1"/>
  <c r="X30" i="1"/>
  <c r="AB30" i="1"/>
  <c r="AF30" i="1"/>
  <c r="AJ30" i="1"/>
  <c r="O30" i="1"/>
  <c r="P30" i="1"/>
  <c r="T30" i="1"/>
  <c r="AD30" i="1"/>
  <c r="AH30" i="1"/>
  <c r="AG30" i="1"/>
  <c r="Y30" i="1"/>
  <c r="M105" i="1"/>
  <c r="M81" i="1"/>
  <c r="M83" i="1"/>
  <c r="M93" i="1"/>
  <c r="M85" i="1"/>
  <c r="M87" i="1"/>
  <c r="U64" i="1"/>
  <c r="O64" i="1"/>
  <c r="M109" i="1"/>
  <c r="M101" i="1"/>
  <c r="M107" i="1"/>
  <c r="M97" i="1"/>
  <c r="N64" i="1"/>
  <c r="M27" i="1"/>
  <c r="M25" i="1"/>
  <c r="AH40" i="1"/>
  <c r="P64" i="1"/>
  <c r="Q64" i="1"/>
  <c r="AC64" i="1"/>
  <c r="AG64" i="1"/>
  <c r="AK64" i="1"/>
  <c r="Z64" i="1"/>
  <c r="AH64" i="1"/>
  <c r="S64" i="1"/>
  <c r="AA64" i="1"/>
  <c r="AE64" i="1"/>
  <c r="AM64" i="1"/>
  <c r="T64" i="1"/>
  <c r="AB64" i="1"/>
  <c r="AF64" i="1"/>
  <c r="AJ64" i="1"/>
  <c r="R64" i="1"/>
  <c r="V64" i="1"/>
  <c r="AL64" i="1"/>
  <c r="W64" i="1"/>
  <c r="AI64" i="1"/>
  <c r="X64" i="1"/>
  <c r="N42" i="1"/>
  <c r="Y64" i="1"/>
  <c r="Q42" i="1"/>
  <c r="Y42" i="1"/>
  <c r="AC42" i="1"/>
  <c r="AG42" i="1"/>
  <c r="AK42" i="1"/>
  <c r="R42" i="1"/>
  <c r="V42" i="1"/>
  <c r="AL42" i="1"/>
  <c r="O42" i="1"/>
  <c r="S42" i="1"/>
  <c r="W42" i="1"/>
  <c r="AE42" i="1"/>
  <c r="AI42" i="1"/>
  <c r="T42" i="1"/>
  <c r="AB42" i="1"/>
  <c r="AJ42" i="1"/>
  <c r="Z42" i="1"/>
  <c r="AA42" i="1"/>
  <c r="AM42" i="1"/>
  <c r="P42" i="1"/>
  <c r="X42" i="1"/>
  <c r="AF42" i="1"/>
  <c r="AD42" i="1"/>
  <c r="O40" i="1"/>
  <c r="S40" i="1"/>
  <c r="W40" i="1"/>
  <c r="AA40" i="1"/>
  <c r="AE40" i="1"/>
  <c r="AI40" i="1"/>
  <c r="AM40" i="1"/>
  <c r="T40" i="1"/>
  <c r="X40" i="1"/>
  <c r="AB40" i="1"/>
  <c r="AJ40" i="1"/>
  <c r="Q40" i="1"/>
  <c r="Y40" i="1"/>
  <c r="AC40" i="1"/>
  <c r="AK40" i="1"/>
  <c r="R40" i="1"/>
  <c r="V40" i="1"/>
  <c r="AD40" i="1"/>
  <c r="AL40" i="1"/>
  <c r="P40" i="1"/>
  <c r="AF40" i="1"/>
  <c r="U40" i="1"/>
  <c r="AG40" i="1"/>
  <c r="Z40" i="1"/>
  <c r="AD64" i="1"/>
  <c r="U42" i="1"/>
  <c r="N10" i="1"/>
  <c r="AI16" i="1"/>
  <c r="AM16" i="1"/>
  <c r="R16" i="1"/>
  <c r="V16" i="1"/>
  <c r="Z16" i="1"/>
  <c r="AD16" i="1"/>
  <c r="AH16" i="1"/>
  <c r="AJ16" i="1"/>
  <c r="O16" i="1"/>
  <c r="S16" i="1"/>
  <c r="W16" i="1"/>
  <c r="AA16" i="1"/>
  <c r="AE16" i="1"/>
  <c r="AK16" i="1"/>
  <c r="P16" i="1"/>
  <c r="T16" i="1"/>
  <c r="X16" i="1"/>
  <c r="AB16" i="1"/>
  <c r="AF16" i="1"/>
  <c r="AL16" i="1"/>
  <c r="Q16" i="1"/>
  <c r="U16" i="1"/>
  <c r="AC16" i="1"/>
  <c r="AG16" i="1"/>
  <c r="Y16" i="1"/>
  <c r="X10" i="1"/>
  <c r="O10" i="1"/>
  <c r="AD12" i="1"/>
  <c r="AH12" i="1"/>
  <c r="AG12" i="1"/>
  <c r="P12" i="1"/>
  <c r="Q12" i="1"/>
  <c r="AC12" i="1"/>
  <c r="AK12" i="1"/>
  <c r="S12" i="1"/>
  <c r="W12" i="1"/>
  <c r="AE12" i="1"/>
  <c r="AM12" i="1"/>
  <c r="X12" i="1"/>
  <c r="AJ12" i="1"/>
  <c r="R12" i="1"/>
  <c r="Z12" i="1"/>
  <c r="AL12" i="1"/>
  <c r="O12" i="1"/>
  <c r="AA12" i="1"/>
  <c r="AI12" i="1"/>
  <c r="T12" i="1"/>
  <c r="AB12" i="1"/>
  <c r="AF12" i="1"/>
  <c r="N12" i="1"/>
  <c r="Y12" i="1"/>
  <c r="U12" i="1"/>
  <c r="Z8" i="1"/>
  <c r="AA8" i="1"/>
  <c r="N8" i="1"/>
  <c r="S10" i="1"/>
  <c r="W10" i="1"/>
  <c r="AA10" i="1"/>
  <c r="AE10" i="1"/>
  <c r="AI10" i="1"/>
  <c r="AM10" i="1"/>
  <c r="P10" i="1"/>
  <c r="T10" i="1"/>
  <c r="AB10" i="1"/>
  <c r="AF10" i="1"/>
  <c r="AJ10" i="1"/>
  <c r="Q10" i="1"/>
  <c r="U10" i="1"/>
  <c r="AC10" i="1"/>
  <c r="AG10" i="1"/>
  <c r="AK10" i="1"/>
  <c r="R10" i="1"/>
  <c r="V10" i="1"/>
  <c r="Z10" i="1"/>
  <c r="AD10" i="1"/>
  <c r="AH10" i="1"/>
  <c r="AL10" i="1"/>
  <c r="O8" i="1"/>
  <c r="S8" i="1"/>
  <c r="W8" i="1"/>
  <c r="AE8" i="1"/>
  <c r="AI8" i="1"/>
  <c r="AM8" i="1"/>
  <c r="P8" i="1"/>
  <c r="T8" i="1"/>
  <c r="X8" i="1"/>
  <c r="AB8" i="1"/>
  <c r="AF8" i="1"/>
  <c r="AJ8" i="1"/>
  <c r="R8" i="1"/>
  <c r="Q8" i="1"/>
  <c r="Y8" i="1"/>
  <c r="AC8" i="1"/>
  <c r="AG8" i="1"/>
  <c r="V8" i="1"/>
  <c r="AD8" i="1"/>
  <c r="AL8" i="1"/>
  <c r="AK8" i="1"/>
  <c r="AH8" i="1"/>
  <c r="T6" i="1"/>
  <c r="AK6" i="1"/>
  <c r="V6" i="1"/>
  <c r="N6" i="1"/>
  <c r="Z6" i="1"/>
  <c r="AL6" i="1"/>
  <c r="AJ6" i="1"/>
  <c r="U6" i="1"/>
  <c r="AG6" i="1"/>
  <c r="W6" i="1"/>
  <c r="AA6" i="1"/>
  <c r="AE6" i="1"/>
  <c r="AI6" i="1"/>
  <c r="AM6" i="1"/>
  <c r="AB6" i="1"/>
  <c r="AF6" i="1"/>
  <c r="Q6" i="1"/>
  <c r="Y6" i="1"/>
  <c r="AC6" i="1"/>
  <c r="R6" i="1"/>
  <c r="AD6" i="1"/>
  <c r="P6" i="1"/>
  <c r="X6" i="1"/>
  <c r="S6" i="1"/>
  <c r="AH6" i="1"/>
  <c r="P4" i="1"/>
  <c r="T4" i="1"/>
  <c r="X4" i="1"/>
  <c r="AB4" i="1"/>
  <c r="AF4" i="1"/>
  <c r="AJ4" i="1"/>
  <c r="N4" i="1"/>
  <c r="Q4" i="1"/>
  <c r="U4" i="1"/>
  <c r="Y4" i="1"/>
  <c r="AC4" i="1"/>
  <c r="AG4" i="1"/>
  <c r="AK4" i="1"/>
  <c r="R4" i="1"/>
  <c r="V4" i="1"/>
  <c r="Z4" i="1"/>
  <c r="AD4" i="1"/>
  <c r="AL4" i="1"/>
  <c r="O4" i="1"/>
  <c r="S4" i="1"/>
  <c r="W4" i="1"/>
  <c r="AA4" i="1"/>
  <c r="AE4" i="1"/>
  <c r="AI4" i="1"/>
  <c r="AM4" i="1"/>
  <c r="AH4" i="1"/>
  <c r="JC31" i="7" l="1"/>
  <c r="JC34" i="7"/>
  <c r="FU34" i="7"/>
  <c r="FU36" i="7" s="1"/>
  <c r="FU38" i="7" s="1"/>
  <c r="BU25" i="7"/>
  <c r="BU34" i="7"/>
  <c r="BU36" i="7" s="1"/>
  <c r="BU38" i="7" s="1"/>
  <c r="CG34" i="7"/>
  <c r="CG36" i="7" s="1"/>
  <c r="CG38" i="7" s="1"/>
  <c r="CH34" i="7"/>
  <c r="CH36" i="7" s="1"/>
  <c r="CH38" i="7" s="1"/>
  <c r="CH25" i="7"/>
  <c r="CE34" i="7"/>
  <c r="CE36" i="7" s="1"/>
  <c r="CE38" i="7" s="1"/>
  <c r="CC23" i="7"/>
  <c r="CD34" i="7" s="1"/>
  <c r="CD36" i="7" s="1"/>
  <c r="CD38" i="7" s="1"/>
  <c r="CD25" i="7"/>
  <c r="GR34" i="7"/>
  <c r="GR36" i="7" s="1"/>
  <c r="GR38" i="7" s="1"/>
  <c r="BA23" i="7"/>
  <c r="BB34" i="7" s="1"/>
  <c r="BB36" i="7" s="1"/>
  <c r="BB38" i="7" s="1"/>
  <c r="AZ25" i="7"/>
  <c r="AZ36" i="7"/>
  <c r="AZ38" i="7" s="1"/>
  <c r="FI34" i="7"/>
  <c r="FI36" i="7" s="1"/>
  <c r="FI38" i="7" s="1"/>
  <c r="FH34" i="7"/>
  <c r="FH36" i="7" s="1"/>
  <c r="FH38" i="7" s="1"/>
  <c r="FG34" i="7"/>
  <c r="FG36" i="7" s="1"/>
  <c r="FG38" i="7" s="1"/>
  <c r="FI25" i="7"/>
  <c r="FG25" i="7"/>
  <c r="AW25" i="7"/>
  <c r="AW34" i="7"/>
  <c r="AW36" i="7" s="1"/>
  <c r="AW38" i="7" s="1"/>
  <c r="AX25" i="7"/>
  <c r="AX34" i="7"/>
  <c r="AX36" i="7" s="1"/>
  <c r="AX38" i="7" s="1"/>
  <c r="CB34" i="7"/>
  <c r="CB36" i="7" s="1"/>
  <c r="CB38" i="7" s="1"/>
  <c r="CA34" i="7"/>
  <c r="CA36" i="7" s="1"/>
  <c r="CA38" i="7" s="1"/>
  <c r="DZ34" i="7"/>
  <c r="DZ36" i="7" s="1"/>
  <c r="DZ38" i="7" s="1"/>
  <c r="DZ25" i="7"/>
  <c r="EA34" i="7"/>
  <c r="EA36" i="7" s="1"/>
  <c r="EA38" i="7" s="1"/>
  <c r="EA25" i="7"/>
  <c r="BW34" i="7"/>
  <c r="BW36" i="7" s="1"/>
  <c r="BW38" i="7" s="1"/>
  <c r="BV34" i="7"/>
  <c r="BV36" i="7" s="1"/>
  <c r="BV38" i="7" s="1"/>
  <c r="BV25" i="7"/>
  <c r="GU25" i="7"/>
  <c r="GU34" i="7"/>
  <c r="GU36" i="7" s="1"/>
  <c r="GU38" i="7" s="1"/>
  <c r="FR34" i="7"/>
  <c r="FR36" i="7" s="1"/>
  <c r="FR38" i="7" s="1"/>
  <c r="M174" i="1"/>
  <c r="Q59" i="1"/>
  <c r="W59" i="1"/>
  <c r="AI59" i="1"/>
  <c r="AJ59" i="1"/>
  <c r="AH59" i="1"/>
  <c r="R59" i="1"/>
  <c r="O59" i="1"/>
  <c r="Y59" i="1"/>
  <c r="AE59" i="1"/>
  <c r="AB59" i="1"/>
  <c r="AD59" i="1"/>
  <c r="AK59" i="1"/>
  <c r="U59" i="1"/>
  <c r="AA59" i="1"/>
  <c r="T59" i="1"/>
  <c r="Z59" i="1"/>
  <c r="AF59" i="1"/>
  <c r="AG59" i="1"/>
  <c r="P59" i="1"/>
  <c r="AM59" i="1"/>
  <c r="S59" i="1"/>
  <c r="AL59" i="1"/>
  <c r="V59" i="1"/>
  <c r="X59" i="1"/>
  <c r="AC59" i="1"/>
  <c r="N59" i="1"/>
  <c r="M34" i="1"/>
  <c r="M36" i="1"/>
  <c r="M30" i="1"/>
  <c r="M64" i="1"/>
  <c r="AC28" i="1"/>
  <c r="AG28" i="1"/>
  <c r="AK28" i="1"/>
  <c r="AL28" i="1"/>
  <c r="AA28" i="1"/>
  <c r="AE28" i="1"/>
  <c r="AM28" i="1"/>
  <c r="P28" i="1"/>
  <c r="AB28" i="1"/>
  <c r="AF28" i="1"/>
  <c r="AJ28" i="1"/>
  <c r="W28" i="1"/>
  <c r="O28" i="1"/>
  <c r="R28" i="1"/>
  <c r="T28" i="1"/>
  <c r="AI28" i="1"/>
  <c r="V28" i="1"/>
  <c r="AH28" i="1"/>
  <c r="Y28" i="1"/>
  <c r="AD28" i="1"/>
  <c r="X28" i="1"/>
  <c r="S28" i="1"/>
  <c r="Q28" i="1"/>
  <c r="Z28" i="1"/>
  <c r="U28" i="1"/>
  <c r="S26" i="1"/>
  <c r="AE26" i="1"/>
  <c r="AM26" i="1"/>
  <c r="P26" i="1"/>
  <c r="T26" i="1"/>
  <c r="AB26" i="1"/>
  <c r="AF26" i="1"/>
  <c r="AJ26" i="1"/>
  <c r="AC26" i="1"/>
  <c r="AG26" i="1"/>
  <c r="V26" i="1"/>
  <c r="Z26" i="1"/>
  <c r="AL26" i="1"/>
  <c r="Q26" i="1"/>
  <c r="AD26" i="1"/>
  <c r="U26" i="1"/>
  <c r="AA26" i="1"/>
  <c r="AK26" i="1"/>
  <c r="AI26" i="1"/>
  <c r="Y26" i="1"/>
  <c r="X26" i="1"/>
  <c r="W26" i="1"/>
  <c r="R26" i="1"/>
  <c r="O26" i="1"/>
  <c r="AH26" i="1"/>
  <c r="N28" i="1"/>
  <c r="N26" i="1"/>
  <c r="M40" i="1"/>
  <c r="M24" i="1"/>
  <c r="M42" i="1"/>
  <c r="M16" i="1"/>
  <c r="M12" i="1"/>
  <c r="M10" i="1"/>
  <c r="M6" i="1"/>
  <c r="M8" i="1"/>
  <c r="M4" i="1"/>
  <c r="JC36" i="7" l="1"/>
  <c r="JC38" i="7" s="1"/>
  <c r="CC25" i="7"/>
  <c r="BA25" i="7"/>
  <c r="M59" i="1"/>
  <c r="M26" i="1"/>
  <c r="M28" i="1"/>
</calcChain>
</file>

<file path=xl/sharedStrings.xml><?xml version="1.0" encoding="utf-8"?>
<sst xmlns="http://schemas.openxmlformats.org/spreadsheetml/2006/main" count="829" uniqueCount="362">
  <si>
    <t>Мурино</t>
  </si>
  <si>
    <t>Бугры</t>
  </si>
  <si>
    <t>Новое Девяткино</t>
  </si>
  <si>
    <t>Кудрово</t>
  </si>
  <si>
    <t>Выборг</t>
  </si>
  <si>
    <t>Всеволожск</t>
  </si>
  <si>
    <t>Тосно</t>
  </si>
  <si>
    <t>Гатчина</t>
  </si>
  <si>
    <t>Сосновый бор</t>
  </si>
  <si>
    <t>Нас. Пункт</t>
  </si>
  <si>
    <t>Санкт-Петербург</t>
  </si>
  <si>
    <t>Кировск</t>
  </si>
  <si>
    <t>Шлиссельбург</t>
  </si>
  <si>
    <t>Ж1(Индивидуальные жилые дома)</t>
  </si>
  <si>
    <t>Ж2(до 4 этажей)</t>
  </si>
  <si>
    <t>Ж3(до 8 этажей)</t>
  </si>
  <si>
    <t>СМ(смеш и общ-дел)</t>
  </si>
  <si>
    <t>Д(общ-дел)</t>
  </si>
  <si>
    <t>П(произв)</t>
  </si>
  <si>
    <t>И(инж)</t>
  </si>
  <si>
    <t>СО(сад и огор)</t>
  </si>
  <si>
    <t>С1(сх)</t>
  </si>
  <si>
    <t>С2(сх предпр)</t>
  </si>
  <si>
    <t>С3(сх иные)</t>
  </si>
  <si>
    <t>Р1(отд)</t>
  </si>
  <si>
    <t>Р2(рекр)</t>
  </si>
  <si>
    <t>Р3(рекр иные)</t>
  </si>
  <si>
    <t>СП1(клаб)</t>
  </si>
  <si>
    <t>СП2(отходы)</t>
  </si>
  <si>
    <t>СП3(озел)</t>
  </si>
  <si>
    <t>РТ(режимн)</t>
  </si>
  <si>
    <t>Ж</t>
  </si>
  <si>
    <t>П</t>
  </si>
  <si>
    <t>С</t>
  </si>
  <si>
    <t>Р</t>
  </si>
  <si>
    <t>Спец</t>
  </si>
  <si>
    <t>Площадь</t>
  </si>
  <si>
    <t>Ж4(9 и более этажей)</t>
  </si>
  <si>
    <t>2010 год</t>
  </si>
  <si>
    <t>2023 год</t>
  </si>
  <si>
    <t>2014 год</t>
  </si>
  <si>
    <t>2035 год</t>
  </si>
  <si>
    <t>2020 год</t>
  </si>
  <si>
    <t>2009 год</t>
  </si>
  <si>
    <t>257.76га сх земель, 253.05га пром и спец земель, 43.46 га запаса переведены под застройку. Всего 554.27га</t>
  </si>
  <si>
    <t>увелич. площади нас. пунктов на  657.36 га за счёт уменьшения  сх земель 396.77, земли промыш 146.81, лесного фонда на 102.53</t>
  </si>
  <si>
    <t>2017 год</t>
  </si>
  <si>
    <t>план на 2040 (2017год)</t>
  </si>
  <si>
    <t>2040 год</t>
  </si>
  <si>
    <t>ГП 2006 года</t>
  </si>
  <si>
    <t>ГП 2006 года перспектива 2015 год</t>
  </si>
  <si>
    <t>ГП 2013 на 2015 год</t>
  </si>
  <si>
    <t>ГП 2013 на 2025 год</t>
  </si>
  <si>
    <t>2024 год до 2040 года</t>
  </si>
  <si>
    <t>Сертолово</t>
  </si>
  <si>
    <t>Свердловское</t>
  </si>
  <si>
    <t>Население</t>
  </si>
  <si>
    <t>Функциональные зоны</t>
  </si>
  <si>
    <t>Село</t>
  </si>
  <si>
    <t>Город</t>
  </si>
  <si>
    <t>Городской округ</t>
  </si>
  <si>
    <t>ГФЗ</t>
  </si>
  <si>
    <t>Митягин С.Д.</t>
  </si>
  <si>
    <r>
      <t xml:space="preserve">2040 год </t>
    </r>
    <r>
      <rPr>
        <sz val="11"/>
        <color theme="2" tint="-0.249977111117893"/>
        <rFont val="Century Gothic"/>
        <family val="2"/>
        <charset val="204"/>
        <scheme val="minor"/>
      </rPr>
      <t>(по ГП 2025)</t>
    </r>
  </si>
  <si>
    <r>
      <t xml:space="preserve">2025 год </t>
    </r>
    <r>
      <rPr>
        <sz val="11"/>
        <color theme="2" tint="-0.249977111117893"/>
        <rFont val="Century Gothic"/>
        <family val="2"/>
        <charset val="204"/>
        <scheme val="minor"/>
      </rPr>
      <t>(по ГП 2016)</t>
    </r>
  </si>
  <si>
    <r>
      <t xml:space="preserve">2015 год </t>
    </r>
    <r>
      <rPr>
        <sz val="11"/>
        <color theme="2" tint="-0.249977111117893"/>
        <rFont val="Century Gothic"/>
        <family val="2"/>
        <charset val="204"/>
        <scheme val="minor"/>
      </rPr>
      <t>(по ГП 2013)</t>
    </r>
  </si>
  <si>
    <r>
      <t xml:space="preserve">2010 год </t>
    </r>
    <r>
      <rPr>
        <sz val="11"/>
        <color theme="2" tint="-0.249977111117893"/>
        <rFont val="Century Gothic"/>
        <family val="2"/>
        <charset val="204"/>
        <scheme val="minor"/>
      </rPr>
      <t>(ГП)</t>
    </r>
  </si>
  <si>
    <r>
      <t xml:space="preserve">2023 год </t>
    </r>
    <r>
      <rPr>
        <sz val="11"/>
        <color theme="2" tint="-0.249977111117893"/>
        <rFont val="Century Gothic"/>
        <family val="2"/>
        <charset val="204"/>
        <scheme val="minor"/>
      </rPr>
      <t>(ГП)</t>
    </r>
  </si>
  <si>
    <t>Заневское</t>
  </si>
  <si>
    <t>1 Рекреационная</t>
  </si>
  <si>
    <t>2 Жилая</t>
  </si>
  <si>
    <t>3 Транспорт</t>
  </si>
  <si>
    <t>4 Деловая</t>
  </si>
  <si>
    <t>7 Лесная</t>
  </si>
  <si>
    <t>8 Специальные зоны</t>
  </si>
  <si>
    <t>9 Сельское хозяйство</t>
  </si>
  <si>
    <t>6 Производственная</t>
  </si>
  <si>
    <t>5 Инженерные сети</t>
  </si>
  <si>
    <t>Заневка</t>
  </si>
  <si>
    <t>2012 год</t>
  </si>
  <si>
    <t>2018 (план 2014 год)</t>
  </si>
  <si>
    <t>2032 год</t>
  </si>
  <si>
    <r>
      <t xml:space="preserve">2012 год </t>
    </r>
    <r>
      <rPr>
        <sz val="11"/>
        <color theme="2" tint="-0.249977111117893"/>
        <rFont val="Century Gothic"/>
        <family val="2"/>
        <charset val="204"/>
        <scheme val="minor"/>
      </rPr>
      <t>(ГП)</t>
    </r>
  </si>
  <si>
    <t>2018 год</t>
  </si>
  <si>
    <t>++++++</t>
  </si>
  <si>
    <t>Адмиралтейский район</t>
  </si>
  <si>
    <t>Василеостровский район</t>
  </si>
  <si>
    <t xml:space="preserve"> Выборгский район</t>
  </si>
  <si>
    <t>Калининский район</t>
  </si>
  <si>
    <t>Кировский район</t>
  </si>
  <si>
    <t>Колпинский район</t>
  </si>
  <si>
    <t>Красногвардейский район</t>
  </si>
  <si>
    <t>Красносельский район</t>
  </si>
  <si>
    <t>Кронштадтский район</t>
  </si>
  <si>
    <t>Курортный район</t>
  </si>
  <si>
    <t xml:space="preserve"> </t>
  </si>
  <si>
    <t>Московский район</t>
  </si>
  <si>
    <t>Невский район</t>
  </si>
  <si>
    <t>Петроградский район</t>
  </si>
  <si>
    <t>Петродворцовый район</t>
  </si>
  <si>
    <t>Приморский район</t>
  </si>
  <si>
    <t>Пушскинский район</t>
  </si>
  <si>
    <t>Фрунзенский район</t>
  </si>
  <si>
    <t>Центральный район</t>
  </si>
  <si>
    <t>Минск</t>
  </si>
  <si>
    <t>Руденск</t>
  </si>
  <si>
    <t>Дзержинск</t>
  </si>
  <si>
    <t>Заславль</t>
  </si>
  <si>
    <t>Фаниполь</t>
  </si>
  <si>
    <t>Логойск</t>
  </si>
  <si>
    <t>Смолевичи</t>
  </si>
  <si>
    <t>Минск-Восточный</t>
  </si>
  <si>
    <t>Минск-Юго-восточный</t>
  </si>
  <si>
    <t>Минск-Южный</t>
  </si>
  <si>
    <t>Минск-Юго-западный</t>
  </si>
  <si>
    <t>Минск-Западный</t>
  </si>
  <si>
    <t>Минск-Северо-западный</t>
  </si>
  <si>
    <t>Минск-Северный</t>
  </si>
  <si>
    <t>Минск-Северо-восточный</t>
  </si>
  <si>
    <t>2027 год</t>
  </si>
  <si>
    <t>2037 год</t>
  </si>
  <si>
    <t>Прочие</t>
  </si>
  <si>
    <t>Аннинское</t>
  </si>
  <si>
    <t>2019 год</t>
  </si>
  <si>
    <t>2019 год (ГП)</t>
  </si>
  <si>
    <t>2040 од (ГП)</t>
  </si>
  <si>
    <t>Адмиралтейский</t>
  </si>
  <si>
    <t>Василеостровский</t>
  </si>
  <si>
    <t>Выборгский</t>
  </si>
  <si>
    <t>Калининский</t>
  </si>
  <si>
    <t>Кировский</t>
  </si>
  <si>
    <t>Колпинский</t>
  </si>
  <si>
    <t>Красногвардейский</t>
  </si>
  <si>
    <t>Красносельский</t>
  </si>
  <si>
    <t>Кронштадтский</t>
  </si>
  <si>
    <t>Курортный</t>
  </si>
  <si>
    <t xml:space="preserve">Московский </t>
  </si>
  <si>
    <t>Невский</t>
  </si>
  <si>
    <t>Петроградский</t>
  </si>
  <si>
    <t>Петродворцовый</t>
  </si>
  <si>
    <t>Приморский</t>
  </si>
  <si>
    <t>Пушкинский</t>
  </si>
  <si>
    <t>Фрунзенский</t>
  </si>
  <si>
    <t>Центральный</t>
  </si>
  <si>
    <t>Факт</t>
  </si>
  <si>
    <t>Отклонение</t>
  </si>
  <si>
    <t>Норма (город ФЗ)</t>
  </si>
  <si>
    <t>Первый пояс</t>
  </si>
  <si>
    <t>Спутники</t>
  </si>
  <si>
    <t>Норма (город)</t>
  </si>
  <si>
    <t>Сумма</t>
  </si>
  <si>
    <t>к оценке</t>
  </si>
  <si>
    <t>у оценке</t>
  </si>
  <si>
    <t>Екатеринбург</t>
  </si>
  <si>
    <t>Т(трансп)</t>
  </si>
  <si>
    <t>7 Прочие</t>
  </si>
  <si>
    <t>Берёзовский</t>
  </si>
  <si>
    <t>Арамиль</t>
  </si>
  <si>
    <t>Арамильский ГО</t>
  </si>
  <si>
    <t>Норма (ГО)</t>
  </si>
  <si>
    <t>ГО Верхняя Пышма</t>
  </si>
  <si>
    <t>Среднеуральск</t>
  </si>
  <si>
    <t>2025 (старый ГП)</t>
  </si>
  <si>
    <t>ГО Среднеуральск 2023</t>
  </si>
  <si>
    <t>Казань</t>
  </si>
  <si>
    <t>Верхний Услон</t>
  </si>
  <si>
    <t>Норма (Село)</t>
  </si>
  <si>
    <t>Высокая Гора</t>
  </si>
  <si>
    <t>Васильево</t>
  </si>
  <si>
    <t>Зеленодольск</t>
  </si>
  <si>
    <t>Осиново</t>
  </si>
  <si>
    <t>Богородское</t>
  </si>
  <si>
    <t>Столбищенское</t>
  </si>
  <si>
    <t>Столбище и Усады</t>
  </si>
  <si>
    <t>Волжск</t>
  </si>
  <si>
    <t>Высокая гора</t>
  </si>
  <si>
    <t>Казанская агломерация</t>
  </si>
  <si>
    <t>Вес</t>
  </si>
  <si>
    <t>Дисбаланс</t>
  </si>
  <si>
    <t>Новое Девякино</t>
  </si>
  <si>
    <t>Санкт-Петербургская агломерация</t>
  </si>
  <si>
    <t>Екатеринбургская агломерация</t>
  </si>
  <si>
    <t>Арамильский</t>
  </si>
  <si>
    <t>Верхняя Пышма</t>
  </si>
  <si>
    <t>Плотность</t>
  </si>
  <si>
    <t>Жилая</t>
  </si>
  <si>
    <t>Рекреационная</t>
  </si>
  <si>
    <t xml:space="preserve">Санкт-Петербург </t>
  </si>
  <si>
    <t>Транспорт. Инж</t>
  </si>
  <si>
    <t>Производственная</t>
  </si>
  <si>
    <t>Сельское хозяйство</t>
  </si>
  <si>
    <t>2023 до 2040</t>
  </si>
  <si>
    <t>Общ - деловая</t>
  </si>
  <si>
    <t>сумма</t>
  </si>
  <si>
    <t>Население, чел</t>
  </si>
  <si>
    <t>Площадь, га</t>
  </si>
  <si>
    <t>Функц. Состав, %</t>
  </si>
  <si>
    <t>До ядра, мин</t>
  </si>
  <si>
    <t>2015 до 2025</t>
  </si>
  <si>
    <t>Муринское</t>
  </si>
  <si>
    <t>2022 до 2040</t>
  </si>
  <si>
    <t>2018 до 2040</t>
  </si>
  <si>
    <t>Ульяновка (Тосненский район)</t>
  </si>
  <si>
    <t>Юкки</t>
  </si>
  <si>
    <t>Аннинское (Ломоносовский район)</t>
  </si>
  <si>
    <t>Бугровское</t>
  </si>
  <si>
    <t>Тайцы (Гатчинский район)</t>
  </si>
  <si>
    <t>Коммунар</t>
  </si>
  <si>
    <t>Фёдоровское</t>
  </si>
  <si>
    <t>Красноборское</t>
  </si>
  <si>
    <t>Тельмана</t>
  </si>
  <si>
    <t>Сертоловское</t>
  </si>
  <si>
    <t>Приозерск</t>
  </si>
  <si>
    <t>Павлово</t>
  </si>
  <si>
    <t>Изменения</t>
  </si>
  <si>
    <t>%</t>
  </si>
  <si>
    <t>лет</t>
  </si>
  <si>
    <t>%/год</t>
  </si>
  <si>
    <t>Срок</t>
  </si>
  <si>
    <t>темп</t>
  </si>
  <si>
    <t>Первомайское (Выборгский район)</t>
  </si>
  <si>
    <t>Рощинское</t>
  </si>
  <si>
    <t>Виллозское</t>
  </si>
  <si>
    <t>Лаголовское</t>
  </si>
  <si>
    <t>Веревское</t>
  </si>
  <si>
    <t>Пудомягское</t>
  </si>
  <si>
    <t>Пудостское</t>
  </si>
  <si>
    <t>Никольское</t>
  </si>
  <si>
    <t>Горбунковское</t>
  </si>
  <si>
    <t>Низинское</t>
  </si>
  <si>
    <t>Пениковское</t>
  </si>
  <si>
    <t>Русско-Высоцкое</t>
  </si>
  <si>
    <t>Гостилицкое</t>
  </si>
  <si>
    <t>Лебяженское</t>
  </si>
  <si>
    <t>Ропшинское</t>
  </si>
  <si>
    <t>Оржицкое</t>
  </si>
  <si>
    <t>Лопухинское</t>
  </si>
  <si>
    <t>(без лесов)</t>
  </si>
  <si>
    <t>Новодевяткинское</t>
  </si>
  <si>
    <t>Щегловское</t>
  </si>
  <si>
    <t>Колтушское</t>
  </si>
  <si>
    <t>(Разметелевское)</t>
  </si>
  <si>
    <t>Кузьмоловское</t>
  </si>
  <si>
    <t>Токсово</t>
  </si>
  <si>
    <t>Агалатовское</t>
  </si>
  <si>
    <t>Мгинское</t>
  </si>
  <si>
    <t>Шлиссельбургское</t>
  </si>
  <si>
    <t>(Без лесов)</t>
  </si>
  <si>
    <t>Сусанинское</t>
  </si>
  <si>
    <t>Лесколовское</t>
  </si>
  <si>
    <t>Романовское</t>
  </si>
  <si>
    <t>без леса</t>
  </si>
  <si>
    <t>срок</t>
  </si>
  <si>
    <t>изменения</t>
  </si>
  <si>
    <t>транпортный пояс</t>
  </si>
  <si>
    <t>виды ОТ</t>
  </si>
  <si>
    <t>зона роста</t>
  </si>
  <si>
    <t>зона сокращения</t>
  </si>
  <si>
    <t>Полянское</t>
  </si>
  <si>
    <t>Отрадное</t>
  </si>
  <si>
    <t>Форносовское</t>
  </si>
  <si>
    <t>Нурминское</t>
  </si>
  <si>
    <t>прирост численности</t>
  </si>
  <si>
    <t>Прирост площади</t>
  </si>
  <si>
    <t>Результат:</t>
  </si>
  <si>
    <t>ЯДРО</t>
  </si>
  <si>
    <t>И, пр</t>
  </si>
  <si>
    <t>П, СХ</t>
  </si>
  <si>
    <t>И, Д</t>
  </si>
  <si>
    <t>Р, СХ</t>
  </si>
  <si>
    <t>СХ, пр</t>
  </si>
  <si>
    <t>П, Д</t>
  </si>
  <si>
    <t>СХ, Р</t>
  </si>
  <si>
    <t>Д, Ж</t>
  </si>
  <si>
    <t>Спутник</t>
  </si>
  <si>
    <t>Зона  влияния ядра</t>
  </si>
  <si>
    <t>Р, Д</t>
  </si>
  <si>
    <t>Поселение на территории агломерации</t>
  </si>
  <si>
    <t>пр</t>
  </si>
  <si>
    <t>пр, Р</t>
  </si>
  <si>
    <t>пр, СХ</t>
  </si>
  <si>
    <t>Ж,СХ</t>
  </si>
  <si>
    <t>Ж,П</t>
  </si>
  <si>
    <t>Зона влияния ядра</t>
  </si>
  <si>
    <t>П,пр</t>
  </si>
  <si>
    <t>СХ, Ж</t>
  </si>
  <si>
    <t>Ж, Д</t>
  </si>
  <si>
    <t>И,</t>
  </si>
  <si>
    <t>Р, пр</t>
  </si>
  <si>
    <t>Город-спутник</t>
  </si>
  <si>
    <t>Поселение в границах агломерации</t>
  </si>
  <si>
    <t>Р, И</t>
  </si>
  <si>
    <t>СХ, П</t>
  </si>
  <si>
    <t>Ж, Р</t>
  </si>
  <si>
    <t>???</t>
  </si>
  <si>
    <t>Территория зелёного каркаса</t>
  </si>
  <si>
    <t>П, Р</t>
  </si>
  <si>
    <t>Потенциальный спутник</t>
  </si>
  <si>
    <t>Ядро</t>
  </si>
  <si>
    <t>Транспорт</t>
  </si>
  <si>
    <t>Поселение</t>
  </si>
  <si>
    <t>До ядра</t>
  </si>
  <si>
    <t>виды транспорта</t>
  </si>
  <si>
    <t>И</t>
  </si>
  <si>
    <t>Д</t>
  </si>
  <si>
    <t>Л</t>
  </si>
  <si>
    <t>СХ</t>
  </si>
  <si>
    <t>Темп развития</t>
  </si>
  <si>
    <t>Прирост населения</t>
  </si>
  <si>
    <t>зона ядра</t>
  </si>
  <si>
    <t>спутник</t>
  </si>
  <si>
    <t>поселение</t>
  </si>
  <si>
    <t>Щеглово</t>
  </si>
  <si>
    <t>Виллози</t>
  </si>
  <si>
    <t>Каменногорск</t>
  </si>
  <si>
    <t>Большеижорское</t>
  </si>
  <si>
    <t>Красноозёрное</t>
  </si>
  <si>
    <t>Новосветское</t>
  </si>
  <si>
    <t>Гончаровское</t>
  </si>
  <si>
    <t>Красносельское</t>
  </si>
  <si>
    <t>Куйвозовское</t>
  </si>
  <si>
    <t>Приморское</t>
  </si>
  <si>
    <t>Раздольевское</t>
  </si>
  <si>
    <t>Советское</t>
  </si>
  <si>
    <t>Общественно-деловая</t>
  </si>
  <si>
    <t>Транспортно-инженерная</t>
  </si>
  <si>
    <t>Промышленная</t>
  </si>
  <si>
    <t>прочие</t>
  </si>
  <si>
    <t>Сельско-хозяйственная</t>
  </si>
  <si>
    <t>Пудостьское</t>
  </si>
  <si>
    <t>Новокуйвозевск</t>
  </si>
  <si>
    <t>Московский</t>
  </si>
  <si>
    <t>1 381,8</t>
  </si>
  <si>
    <t>2 146,9</t>
  </si>
  <si>
    <t>11 487,4</t>
  </si>
  <si>
    <t>4 017,5</t>
  </si>
  <si>
    <t>4 746,8</t>
  </si>
  <si>
    <t>10 220,7</t>
  </si>
  <si>
    <t>5 635,0</t>
  </si>
  <si>
    <t>9 076,5</t>
  </si>
  <si>
    <t>1 981,7</t>
  </si>
  <si>
    <t>27 377,8</t>
  </si>
  <si>
    <t>7 411,4</t>
  </si>
  <si>
    <t>6 179,2</t>
  </si>
  <si>
    <t>1 970,9</t>
  </si>
  <si>
    <t>10 839,9</t>
  </si>
  <si>
    <t>11 015,6</t>
  </si>
  <si>
    <t>24 011,7</t>
  </si>
  <si>
    <t>3 751,8</t>
  </si>
  <si>
    <t>1 776,9</t>
  </si>
  <si>
    <t>Назиевское</t>
  </si>
  <si>
    <t>Суховское</t>
  </si>
  <si>
    <t>Шумское</t>
  </si>
  <si>
    <t>лес</t>
  </si>
  <si>
    <t>Кисельнинское</t>
  </si>
  <si>
    <t>Громовское</t>
  </si>
  <si>
    <t>Иссадское</t>
  </si>
  <si>
    <t>Староладожское</t>
  </si>
  <si>
    <t>Волхов</t>
  </si>
  <si>
    <t>Вырица (отдельно)</t>
  </si>
  <si>
    <t>Малое верево (отдельно)</t>
  </si>
  <si>
    <t>,tp ktcf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</si>
</sst>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charset val="204"/>
      <scheme val="minor"/>
    </font>
    <font>
      <sz val="11"/>
      <color theme="1"/>
      <name val="Century Gothic"/>
      <family val="2"/>
      <charset val="204"/>
      <scheme val="minor"/>
    </font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charset val="204"/>
      <scheme val="minor"/>
    </font>
    <font>
      <sz val="11"/>
      <color theme="2" tint="-0.249977111117893"/>
      <name val="Century Gothic"/>
      <family val="2"/>
      <scheme val="minor"/>
    </font>
    <font>
      <sz val="11"/>
      <color theme="2" tint="-0.249977111117893"/>
      <name val="Century Gothic"/>
      <family val="2"/>
      <charset val="204"/>
      <scheme val="minor"/>
    </font>
    <font>
      <sz val="9"/>
      <color theme="1"/>
      <name val="Century Gothic"/>
      <family val="2"/>
      <scheme val="minor"/>
    </font>
    <font>
      <sz val="12"/>
      <color rgb="FF333333"/>
      <name val="Arial"/>
      <family val="2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4" fontId="0" fillId="0" borderId="0" xfId="0" applyNumberFormat="1"/>
    <xf numFmtId="0" fontId="4" fillId="0" borderId="0" xfId="0" applyFont="1"/>
    <xf numFmtId="4" fontId="4" fillId="0" borderId="0" xfId="0" applyNumberFormat="1" applyFont="1"/>
    <xf numFmtId="2" fontId="4" fillId="0" borderId="0" xfId="0" applyNumberFormat="1" applyFont="1"/>
    <xf numFmtId="9" fontId="4" fillId="0" borderId="0" xfId="1" applyFont="1"/>
    <xf numFmtId="9" fontId="2" fillId="0" borderId="0" xfId="1" applyFont="1"/>
    <xf numFmtId="4" fontId="2" fillId="0" borderId="0" xfId="0" applyNumberFormat="1" applyFont="1"/>
    <xf numFmtId="0" fontId="0" fillId="0" borderId="1" xfId="0" applyBorder="1"/>
    <xf numFmtId="4" fontId="0" fillId="0" borderId="1" xfId="0" applyNumberFormat="1" applyBorder="1"/>
    <xf numFmtId="9" fontId="4" fillId="0" borderId="1" xfId="1" applyFont="1" applyBorder="1"/>
    <xf numFmtId="9" fontId="2" fillId="0" borderId="1" xfId="1" applyFont="1" applyBorder="1"/>
    <xf numFmtId="0" fontId="4" fillId="0" borderId="1" xfId="0" applyFont="1" applyBorder="1"/>
    <xf numFmtId="4" fontId="4" fillId="0" borderId="1" xfId="0" applyNumberFormat="1" applyFont="1" applyBorder="1"/>
    <xf numFmtId="0" fontId="0" fillId="0" borderId="0" xfId="0" applyBorder="1"/>
    <xf numFmtId="4" fontId="0" fillId="0" borderId="0" xfId="0" applyNumberFormat="1" applyBorder="1"/>
    <xf numFmtId="4" fontId="4" fillId="0" borderId="0" xfId="0" applyNumberFormat="1" applyFont="1" applyBorder="1"/>
    <xf numFmtId="0" fontId="4" fillId="0" borderId="0" xfId="0" applyFont="1" applyBorder="1"/>
    <xf numFmtId="0" fontId="0" fillId="0" borderId="0" xfId="0" applyFill="1" applyBorder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5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" fontId="0" fillId="0" borderId="0" xfId="0" applyNumberFormat="1"/>
    <xf numFmtId="1" fontId="8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left" vertical="top"/>
    </xf>
    <xf numFmtId="1" fontId="1" fillId="0" borderId="0" xfId="0" applyNumberFormat="1" applyFont="1" applyAlignment="1">
      <alignment horizontal="right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Село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4"/>
          <c:order val="0"/>
          <c:spPr>
            <a:ln w="1270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Лист2!$B$7:$B$15</c:f>
              <c:numCache>
                <c:formatCode>General</c:formatCode>
                <c:ptCount val="9"/>
                <c:pt idx="0">
                  <c:v>15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6C4-410F-AE6F-BB706BEDD80E}"/>
            </c:ext>
          </c:extLst>
        </c:ser>
        <c:ser>
          <c:idx val="5"/>
          <c:order val="1"/>
          <c:spPr>
            <a:ln w="127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Лист2!$B$7:$B$15</c:f>
              <c:numCache>
                <c:formatCode>General</c:formatCode>
                <c:ptCount val="9"/>
                <c:pt idx="0">
                  <c:v>15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6C4-410F-AE6F-BB706BEDD80E}"/>
            </c:ext>
          </c:extLst>
        </c:ser>
        <c:ser>
          <c:idx val="6"/>
          <c:order val="2"/>
          <c:spPr>
            <a:ln w="1270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Лист2!$B$7:$B$15</c:f>
              <c:numCache>
                <c:formatCode>General</c:formatCode>
                <c:ptCount val="9"/>
                <c:pt idx="0">
                  <c:v>15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6C4-410F-AE6F-BB706BEDD80E}"/>
            </c:ext>
          </c:extLst>
        </c:ser>
        <c:ser>
          <c:idx val="7"/>
          <c:order val="3"/>
          <c:spPr>
            <a:ln w="127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Лист2!$B$7:$B$15</c:f>
              <c:numCache>
                <c:formatCode>General</c:formatCode>
                <c:ptCount val="9"/>
                <c:pt idx="0">
                  <c:v>15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6C4-410F-AE6F-BB706BEDD80E}"/>
            </c:ext>
          </c:extLst>
        </c:ser>
        <c:ser>
          <c:idx val="2"/>
          <c:order val="4"/>
          <c:spPr>
            <a:ln w="1270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Лист2!$B$7:$B$15</c:f>
              <c:numCache>
                <c:formatCode>General</c:formatCode>
                <c:ptCount val="9"/>
                <c:pt idx="0">
                  <c:v>15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6C4-410F-AE6F-BB706BEDD80E}"/>
            </c:ext>
          </c:extLst>
        </c:ser>
        <c:ser>
          <c:idx val="3"/>
          <c:order val="5"/>
          <c:spPr>
            <a:ln w="127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Лист2!$B$7:$B$15</c:f>
              <c:numCache>
                <c:formatCode>General</c:formatCode>
                <c:ptCount val="9"/>
                <c:pt idx="0">
                  <c:v>15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6C4-410F-AE6F-BB706BEDD80E}"/>
            </c:ext>
          </c:extLst>
        </c:ser>
        <c:ser>
          <c:idx val="1"/>
          <c:order val="6"/>
          <c:spPr>
            <a:ln w="1270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Лист2!$B$7:$B$15</c:f>
              <c:numCache>
                <c:formatCode>General</c:formatCode>
                <c:ptCount val="9"/>
                <c:pt idx="0">
                  <c:v>15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6C4-410F-AE6F-BB706BEDD80E}"/>
            </c:ext>
          </c:extLst>
        </c:ser>
        <c:ser>
          <c:idx val="0"/>
          <c:order val="7"/>
          <c:spPr>
            <a:ln w="127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Лист2!$B$7:$B$15</c:f>
              <c:numCache>
                <c:formatCode>General</c:formatCode>
                <c:ptCount val="9"/>
                <c:pt idx="0">
                  <c:v>15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6C4-410F-AE6F-BB706BEDD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124495"/>
        <c:axId val="643118671"/>
      </c:radarChart>
      <c:catAx>
        <c:axId val="64312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118671"/>
        <c:crosses val="autoZero"/>
        <c:auto val="1"/>
        <c:lblAlgn val="ctr"/>
        <c:lblOffset val="100"/>
        <c:noMultiLvlLbl val="0"/>
      </c:catAx>
      <c:valAx>
        <c:axId val="643118671"/>
        <c:scaling>
          <c:orientation val="minMax"/>
          <c:max val="40"/>
        </c:scaling>
        <c:delete val="0"/>
        <c:axPos val="l"/>
        <c:majorGridlines>
          <c:spPr>
            <a:ln w="0" cap="rnd" cmpd="sng" algn="ctr">
              <a:solidFill>
                <a:schemeClr val="bg1">
                  <a:lumMod val="65000"/>
                </a:schemeClr>
              </a:solidFill>
              <a:bevel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124495"/>
        <c:crosses val="autoZero"/>
        <c:crossBetween val="between"/>
        <c:majorUnit val="10"/>
      </c:valAx>
    </c:plotArea>
    <c:plotVisOnly val="1"/>
    <c:dispBlanksAs val="gap"/>
    <c:showDLblsOverMax val="0"/>
    <c:extLst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ru-RU"/>
              <a:t>Город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Лист2!$C$7:$C$15</c:f>
              <c:numCache>
                <c:formatCode>General</c:formatCode>
                <c:ptCount val="9"/>
                <c:pt idx="0">
                  <c:v>20</c:v>
                </c:pt>
                <c:pt idx="1">
                  <c:v>10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  <c:pt idx="5">
                  <c:v>10</c:v>
                </c:pt>
                <c:pt idx="6">
                  <c:v>18</c:v>
                </c:pt>
                <c:pt idx="7">
                  <c:v>15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CC-4C3B-BEDD-E861C0762FAE}"/>
            </c:ext>
          </c:extLst>
        </c:ser>
        <c:ser>
          <c:idx val="2"/>
          <c:order val="1"/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Лист2!$C$7:$C$15</c:f>
              <c:numCache>
                <c:formatCode>General</c:formatCode>
                <c:ptCount val="9"/>
                <c:pt idx="0">
                  <c:v>20</c:v>
                </c:pt>
                <c:pt idx="1">
                  <c:v>10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  <c:pt idx="5">
                  <c:v>10</c:v>
                </c:pt>
                <c:pt idx="6">
                  <c:v>18</c:v>
                </c:pt>
                <c:pt idx="7">
                  <c:v>15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CC-4C3B-BEDD-E861C0762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124495"/>
        <c:axId val="643118671"/>
      </c:radarChart>
      <c:catAx>
        <c:axId val="64312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643118671"/>
        <c:crosses val="autoZero"/>
        <c:auto val="1"/>
        <c:lblAlgn val="ctr"/>
        <c:lblOffset val="100"/>
        <c:noMultiLvlLbl val="0"/>
      </c:catAx>
      <c:valAx>
        <c:axId val="643118671"/>
        <c:scaling>
          <c:orientation val="minMax"/>
          <c:max val="60"/>
        </c:scaling>
        <c:delete val="0"/>
        <c:axPos val="l"/>
        <c:majorGridlines>
          <c:spPr>
            <a:ln w="0" cap="rnd" cmpd="sng" algn="ctr">
              <a:solidFill>
                <a:schemeClr val="bg1">
                  <a:lumMod val="65000"/>
                </a:schemeClr>
              </a:solidFill>
              <a:bevel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643124495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ru-RU"/>
              <a:t>Городской</a:t>
            </a:r>
            <a:r>
              <a:rPr lang="ru-RU" baseline="0"/>
              <a:t> округ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Лист2!$D$7:$D$15</c:f>
              <c:numCache>
                <c:formatCode>General</c:formatCode>
                <c:ptCount val="9"/>
                <c:pt idx="0">
                  <c:v>25</c:v>
                </c:pt>
                <c:pt idx="1">
                  <c:v>15</c:v>
                </c:pt>
                <c:pt idx="2">
                  <c:v>14</c:v>
                </c:pt>
                <c:pt idx="3">
                  <c:v>7</c:v>
                </c:pt>
                <c:pt idx="4">
                  <c:v>4</c:v>
                </c:pt>
                <c:pt idx="5">
                  <c:v>10</c:v>
                </c:pt>
                <c:pt idx="6">
                  <c:v>11</c:v>
                </c:pt>
                <c:pt idx="7">
                  <c:v>9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7-422B-86D5-7E2AE80988BB}"/>
            </c:ext>
          </c:extLst>
        </c:ser>
        <c:ser>
          <c:idx val="2"/>
          <c:order val="1"/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Лист2!$D$7:$D$15</c:f>
              <c:numCache>
                <c:formatCode>General</c:formatCode>
                <c:ptCount val="9"/>
                <c:pt idx="0">
                  <c:v>25</c:v>
                </c:pt>
                <c:pt idx="1">
                  <c:v>15</c:v>
                </c:pt>
                <c:pt idx="2">
                  <c:v>14</c:v>
                </c:pt>
                <c:pt idx="3">
                  <c:v>7</c:v>
                </c:pt>
                <c:pt idx="4">
                  <c:v>4</c:v>
                </c:pt>
                <c:pt idx="5">
                  <c:v>10</c:v>
                </c:pt>
                <c:pt idx="6">
                  <c:v>11</c:v>
                </c:pt>
                <c:pt idx="7">
                  <c:v>9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C7-422B-86D5-7E2AE8098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124495"/>
        <c:axId val="643118671"/>
      </c:radarChart>
      <c:catAx>
        <c:axId val="64312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643118671"/>
        <c:crosses val="autoZero"/>
        <c:auto val="1"/>
        <c:lblAlgn val="ctr"/>
        <c:lblOffset val="100"/>
        <c:noMultiLvlLbl val="0"/>
      </c:catAx>
      <c:valAx>
        <c:axId val="643118671"/>
        <c:scaling>
          <c:orientation val="minMax"/>
          <c:max val="60"/>
        </c:scaling>
        <c:delete val="0"/>
        <c:axPos val="l"/>
        <c:majorGridlines>
          <c:spPr>
            <a:ln w="0" cap="rnd" cmpd="sng" algn="ctr">
              <a:solidFill>
                <a:schemeClr val="bg1">
                  <a:lumMod val="65000"/>
                </a:schemeClr>
              </a:solidFill>
              <a:bevel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643124495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ru-RU"/>
              <a:t>Город</a:t>
            </a:r>
            <a:r>
              <a:rPr lang="ru-RU" baseline="0"/>
              <a:t> федерального значения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1270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Лист2!$E$7:$E$15</c:f>
              <c:numCache>
                <c:formatCode>General</c:formatCode>
                <c:ptCount val="9"/>
                <c:pt idx="0">
                  <c:v>30</c:v>
                </c:pt>
                <c:pt idx="1">
                  <c:v>20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10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8-4F23-85BA-21ECADD84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124495"/>
        <c:axId val="643118671"/>
      </c:radarChart>
      <c:catAx>
        <c:axId val="64312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643118671"/>
        <c:crosses val="autoZero"/>
        <c:auto val="1"/>
        <c:lblAlgn val="ctr"/>
        <c:lblOffset val="100"/>
        <c:noMultiLvlLbl val="0"/>
      </c:catAx>
      <c:valAx>
        <c:axId val="643118671"/>
        <c:scaling>
          <c:orientation val="minMax"/>
          <c:max val="40"/>
        </c:scaling>
        <c:delete val="0"/>
        <c:axPos val="l"/>
        <c:majorGridlines>
          <c:spPr>
            <a:ln w="0" cap="rnd" cmpd="sng" algn="ctr">
              <a:solidFill>
                <a:schemeClr val="bg1">
                  <a:lumMod val="65000"/>
                </a:schemeClr>
              </a:solidFill>
              <a:bevel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643124495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Лист2!$B$51</c:f>
              <c:strCache>
                <c:ptCount val="1"/>
                <c:pt idx="0">
                  <c:v>Село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Лист2!$A$52:$A$60</c:f>
              <c:strCache>
                <c:ptCount val="9"/>
                <c:pt idx="0">
                  <c:v>1 Рекреационная</c:v>
                </c:pt>
                <c:pt idx="1">
                  <c:v>2 Жилая</c:v>
                </c:pt>
                <c:pt idx="2">
                  <c:v>3 Транспорт</c:v>
                </c:pt>
                <c:pt idx="3">
                  <c:v>4 Деловая</c:v>
                </c:pt>
                <c:pt idx="4">
                  <c:v>5 Инженерные сети</c:v>
                </c:pt>
                <c:pt idx="5">
                  <c:v>6 Производственная</c:v>
                </c:pt>
                <c:pt idx="6">
                  <c:v>7 Лесная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Лист2!$B$52:$B$60</c:f>
              <c:numCache>
                <c:formatCode>General</c:formatCode>
                <c:ptCount val="9"/>
                <c:pt idx="0">
                  <c:v>15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5-4C65-91D2-01042C98DD96}"/>
            </c:ext>
          </c:extLst>
        </c:ser>
        <c:ser>
          <c:idx val="1"/>
          <c:order val="1"/>
          <c:tx>
            <c:strRef>
              <c:f>Лист2!$C$51</c:f>
              <c:strCache>
                <c:ptCount val="1"/>
                <c:pt idx="0">
                  <c:v>Город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Лист2!$A$52:$A$60</c:f>
              <c:strCache>
                <c:ptCount val="9"/>
                <c:pt idx="0">
                  <c:v>1 Рекреационная</c:v>
                </c:pt>
                <c:pt idx="1">
                  <c:v>2 Жилая</c:v>
                </c:pt>
                <c:pt idx="2">
                  <c:v>3 Транспорт</c:v>
                </c:pt>
                <c:pt idx="3">
                  <c:v>4 Деловая</c:v>
                </c:pt>
                <c:pt idx="4">
                  <c:v>5 Инженерные сети</c:v>
                </c:pt>
                <c:pt idx="5">
                  <c:v>6 Производственная</c:v>
                </c:pt>
                <c:pt idx="6">
                  <c:v>7 Лесная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Лист2!$C$52:$C$60</c:f>
              <c:numCache>
                <c:formatCode>General</c:formatCode>
                <c:ptCount val="9"/>
                <c:pt idx="0">
                  <c:v>20</c:v>
                </c:pt>
                <c:pt idx="1">
                  <c:v>10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  <c:pt idx="5">
                  <c:v>10</c:v>
                </c:pt>
                <c:pt idx="6">
                  <c:v>18</c:v>
                </c:pt>
                <c:pt idx="7">
                  <c:v>15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45-4C65-91D2-01042C98DD96}"/>
            </c:ext>
          </c:extLst>
        </c:ser>
        <c:ser>
          <c:idx val="2"/>
          <c:order val="2"/>
          <c:tx>
            <c:strRef>
              <c:f>Лист2!$D$51</c:f>
              <c:strCache>
                <c:ptCount val="1"/>
                <c:pt idx="0">
                  <c:v>Городской округ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Лист2!$A$52:$A$60</c:f>
              <c:strCache>
                <c:ptCount val="9"/>
                <c:pt idx="0">
                  <c:v>1 Рекреационная</c:v>
                </c:pt>
                <c:pt idx="1">
                  <c:v>2 Жилая</c:v>
                </c:pt>
                <c:pt idx="2">
                  <c:v>3 Транспорт</c:v>
                </c:pt>
                <c:pt idx="3">
                  <c:v>4 Деловая</c:v>
                </c:pt>
                <c:pt idx="4">
                  <c:v>5 Инженерные сети</c:v>
                </c:pt>
                <c:pt idx="5">
                  <c:v>6 Производственная</c:v>
                </c:pt>
                <c:pt idx="6">
                  <c:v>7 Лесная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Лист2!$D$52:$D$60</c:f>
              <c:numCache>
                <c:formatCode>General</c:formatCode>
                <c:ptCount val="9"/>
                <c:pt idx="0">
                  <c:v>25</c:v>
                </c:pt>
                <c:pt idx="1">
                  <c:v>15</c:v>
                </c:pt>
                <c:pt idx="2">
                  <c:v>14</c:v>
                </c:pt>
                <c:pt idx="3">
                  <c:v>7</c:v>
                </c:pt>
                <c:pt idx="4">
                  <c:v>4</c:v>
                </c:pt>
                <c:pt idx="5">
                  <c:v>10</c:v>
                </c:pt>
                <c:pt idx="6">
                  <c:v>11</c:v>
                </c:pt>
                <c:pt idx="7">
                  <c:v>9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45-4C65-91D2-01042C98DD96}"/>
            </c:ext>
          </c:extLst>
        </c:ser>
        <c:ser>
          <c:idx val="3"/>
          <c:order val="3"/>
          <c:tx>
            <c:strRef>
              <c:f>Лист2!$E$51</c:f>
              <c:strCache>
                <c:ptCount val="1"/>
                <c:pt idx="0">
                  <c:v>ГФЗ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Лист2!$A$52:$A$60</c:f>
              <c:strCache>
                <c:ptCount val="9"/>
                <c:pt idx="0">
                  <c:v>1 Рекреационная</c:v>
                </c:pt>
                <c:pt idx="1">
                  <c:v>2 Жилая</c:v>
                </c:pt>
                <c:pt idx="2">
                  <c:v>3 Транспорт</c:v>
                </c:pt>
                <c:pt idx="3">
                  <c:v>4 Деловая</c:v>
                </c:pt>
                <c:pt idx="4">
                  <c:v>5 Инженерные сети</c:v>
                </c:pt>
                <c:pt idx="5">
                  <c:v>6 Производственная</c:v>
                </c:pt>
                <c:pt idx="6">
                  <c:v>7 Лесная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Лист2!$E$52:$E$60</c:f>
              <c:numCache>
                <c:formatCode>General</c:formatCode>
                <c:ptCount val="9"/>
                <c:pt idx="0">
                  <c:v>30</c:v>
                </c:pt>
                <c:pt idx="1">
                  <c:v>20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10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45-4C65-91D2-01042C98D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284863"/>
        <c:axId val="739277791"/>
      </c:radarChart>
      <c:catAx>
        <c:axId val="73928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9277791"/>
        <c:crosses val="autoZero"/>
        <c:auto val="1"/>
        <c:lblAlgn val="ctr"/>
        <c:lblOffset val="100"/>
        <c:noMultiLvlLbl val="0"/>
      </c:catAx>
      <c:valAx>
        <c:axId val="73927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928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ru-RU"/>
              <a:t>Город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1270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Лист2!$C$7:$C$15</c:f>
              <c:numCache>
                <c:formatCode>General</c:formatCode>
                <c:ptCount val="9"/>
                <c:pt idx="0">
                  <c:v>20</c:v>
                </c:pt>
                <c:pt idx="1">
                  <c:v>10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  <c:pt idx="5">
                  <c:v>10</c:v>
                </c:pt>
                <c:pt idx="6">
                  <c:v>18</c:v>
                </c:pt>
                <c:pt idx="7">
                  <c:v>15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CC-4C3B-BEDD-E861C0762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124495"/>
        <c:axId val="643118671"/>
      </c:radarChart>
      <c:catAx>
        <c:axId val="64312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643118671"/>
        <c:crosses val="autoZero"/>
        <c:auto val="1"/>
        <c:lblAlgn val="ctr"/>
        <c:lblOffset val="100"/>
        <c:noMultiLvlLbl val="0"/>
      </c:catAx>
      <c:valAx>
        <c:axId val="643118671"/>
        <c:scaling>
          <c:orientation val="minMax"/>
          <c:max val="40"/>
        </c:scaling>
        <c:delete val="0"/>
        <c:axPos val="l"/>
        <c:majorGridlines>
          <c:spPr>
            <a:ln w="0" cap="rnd" cmpd="sng" algn="ctr">
              <a:solidFill>
                <a:schemeClr val="bg1">
                  <a:lumMod val="65000"/>
                </a:schemeClr>
              </a:solidFill>
              <a:bevel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643124495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ru-RU"/>
              <a:t>Городской</a:t>
            </a:r>
            <a:r>
              <a:rPr lang="ru-RU" baseline="0"/>
              <a:t> округ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2"/>
          <c:order val="0"/>
          <c:spPr>
            <a:ln w="1270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Лист2!$D$7:$D$15</c:f>
              <c:numCache>
                <c:formatCode>General</c:formatCode>
                <c:ptCount val="9"/>
                <c:pt idx="0">
                  <c:v>25</c:v>
                </c:pt>
                <c:pt idx="1">
                  <c:v>15</c:v>
                </c:pt>
                <c:pt idx="2">
                  <c:v>14</c:v>
                </c:pt>
                <c:pt idx="3">
                  <c:v>7</c:v>
                </c:pt>
                <c:pt idx="4">
                  <c:v>4</c:v>
                </c:pt>
                <c:pt idx="5">
                  <c:v>10</c:v>
                </c:pt>
                <c:pt idx="6">
                  <c:v>11</c:v>
                </c:pt>
                <c:pt idx="7">
                  <c:v>9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C7-422B-86D5-7E2AE8098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124495"/>
        <c:axId val="643118671"/>
      </c:radarChart>
      <c:catAx>
        <c:axId val="64312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643118671"/>
        <c:crosses val="autoZero"/>
        <c:auto val="1"/>
        <c:lblAlgn val="ctr"/>
        <c:lblOffset val="100"/>
        <c:noMultiLvlLbl val="0"/>
      </c:catAx>
      <c:valAx>
        <c:axId val="643118671"/>
        <c:scaling>
          <c:orientation val="minMax"/>
          <c:max val="40"/>
        </c:scaling>
        <c:delete val="0"/>
        <c:axPos val="l"/>
        <c:majorGridlines>
          <c:spPr>
            <a:ln w="0" cap="rnd" cmpd="sng" algn="ctr">
              <a:solidFill>
                <a:schemeClr val="bg1">
                  <a:lumMod val="65000"/>
                </a:schemeClr>
              </a:solidFill>
              <a:bevel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643124495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Санкт-Петербург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12700" cap="rnd">
              <a:solidFill>
                <a:schemeClr val="accent6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Лист2!$F$7:$F$15</c:f>
              <c:numCache>
                <c:formatCode>General</c:formatCode>
                <c:ptCount val="9"/>
                <c:pt idx="0">
                  <c:v>29</c:v>
                </c:pt>
                <c:pt idx="1">
                  <c:v>20</c:v>
                </c:pt>
                <c:pt idx="2">
                  <c:v>16</c:v>
                </c:pt>
                <c:pt idx="3">
                  <c:v>8</c:v>
                </c:pt>
                <c:pt idx="4">
                  <c:v>2</c:v>
                </c:pt>
                <c:pt idx="5">
                  <c:v>10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E-4C08-A75D-32EDEB14EB46}"/>
            </c:ext>
          </c:extLst>
        </c:ser>
        <c:ser>
          <c:idx val="1"/>
          <c:order val="1"/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Лист2!$G$7:$G$15</c:f>
              <c:numCache>
                <c:formatCode>General</c:formatCode>
                <c:ptCount val="9"/>
                <c:pt idx="0">
                  <c:v>30</c:v>
                </c:pt>
                <c:pt idx="1">
                  <c:v>27</c:v>
                </c:pt>
                <c:pt idx="2">
                  <c:v>12</c:v>
                </c:pt>
                <c:pt idx="3">
                  <c:v>8</c:v>
                </c:pt>
                <c:pt idx="4">
                  <c:v>2</c:v>
                </c:pt>
                <c:pt idx="5">
                  <c:v>11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3E-4C08-A75D-32EDEB14EB46}"/>
            </c:ext>
          </c:extLst>
        </c:ser>
        <c:ser>
          <c:idx val="2"/>
          <c:order val="2"/>
          <c:spPr>
            <a:ln w="12700" cap="rnd">
              <a:solidFill>
                <a:schemeClr val="accent6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Лист2!$H$7:$H$15</c:f>
              <c:numCache>
                <c:formatCode>General</c:formatCode>
                <c:ptCount val="9"/>
                <c:pt idx="0">
                  <c:v>29</c:v>
                </c:pt>
                <c:pt idx="1">
                  <c:v>23</c:v>
                </c:pt>
                <c:pt idx="2">
                  <c:v>12</c:v>
                </c:pt>
                <c:pt idx="3">
                  <c:v>7</c:v>
                </c:pt>
                <c:pt idx="4">
                  <c:v>2</c:v>
                </c:pt>
                <c:pt idx="5">
                  <c:v>11</c:v>
                </c:pt>
                <c:pt idx="6">
                  <c:v>4</c:v>
                </c:pt>
                <c:pt idx="7">
                  <c:v>4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3E-4C08-A75D-32EDEB14E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281951"/>
        <c:axId val="739302751"/>
      </c:radarChart>
      <c:catAx>
        <c:axId val="73928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9302751"/>
        <c:crosses val="autoZero"/>
        <c:auto val="1"/>
        <c:lblAlgn val="ctr"/>
        <c:lblOffset val="100"/>
        <c:noMultiLvlLbl val="0"/>
      </c:catAx>
      <c:valAx>
        <c:axId val="739302751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928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Мурино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12700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Лист2!$I$7:$I$15</c:f>
              <c:numCache>
                <c:formatCode>General</c:formatCode>
                <c:ptCount val="9"/>
                <c:pt idx="0">
                  <c:v>13</c:v>
                </c:pt>
                <c:pt idx="1">
                  <c:v>8</c:v>
                </c:pt>
                <c:pt idx="2">
                  <c:v>8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27</c:v>
                </c:pt>
                <c:pt idx="7">
                  <c:v>3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1-4DEB-BD74-A7272D5EED0A}"/>
            </c:ext>
          </c:extLst>
        </c:ser>
        <c:ser>
          <c:idx val="1"/>
          <c:order val="1"/>
          <c:spPr>
            <a:ln w="12700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Лист2!$J$7:$J$15</c:f>
              <c:numCache>
                <c:formatCode>General</c:formatCode>
                <c:ptCount val="9"/>
                <c:pt idx="0">
                  <c:v>12</c:v>
                </c:pt>
                <c:pt idx="1">
                  <c:v>29</c:v>
                </c:pt>
                <c:pt idx="2">
                  <c:v>23</c:v>
                </c:pt>
                <c:pt idx="3">
                  <c:v>15</c:v>
                </c:pt>
                <c:pt idx="4">
                  <c:v>1</c:v>
                </c:pt>
                <c:pt idx="5">
                  <c:v>13</c:v>
                </c:pt>
                <c:pt idx="6">
                  <c:v>4</c:v>
                </c:pt>
                <c:pt idx="7">
                  <c:v>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41-4DEB-BD74-A7272D5EE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271967"/>
        <c:axId val="739268639"/>
      </c:radarChart>
      <c:catAx>
        <c:axId val="73927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9268639"/>
        <c:crosses val="autoZero"/>
        <c:auto val="1"/>
        <c:lblAlgn val="ctr"/>
        <c:lblOffset val="100"/>
        <c:noMultiLvlLbl val="0"/>
      </c:catAx>
      <c:valAx>
        <c:axId val="739268639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927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Бугры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12700" cap="rnd">
              <a:solidFill>
                <a:schemeClr val="accent6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Лист2!$K$7:$K$15</c:f>
              <c:numCache>
                <c:formatCode>General</c:formatCode>
                <c:ptCount val="9"/>
                <c:pt idx="0">
                  <c:v>0.8</c:v>
                </c:pt>
                <c:pt idx="1">
                  <c:v>29.3</c:v>
                </c:pt>
                <c:pt idx="2">
                  <c:v>3.3</c:v>
                </c:pt>
                <c:pt idx="3">
                  <c:v>22.2</c:v>
                </c:pt>
                <c:pt idx="4">
                  <c:v>1.3</c:v>
                </c:pt>
                <c:pt idx="5">
                  <c:v>5.4</c:v>
                </c:pt>
                <c:pt idx="6">
                  <c:v>18.899999999999999</c:v>
                </c:pt>
                <c:pt idx="7">
                  <c:v>11.1</c:v>
                </c:pt>
                <c:pt idx="8">
                  <c:v>47.8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7-4E36-9CF4-F4AAD1D1AAED}"/>
            </c:ext>
          </c:extLst>
        </c:ser>
        <c:ser>
          <c:idx val="2"/>
          <c:order val="2"/>
          <c:spPr>
            <a:ln w="12700" cap="rnd">
              <a:solidFill>
                <a:schemeClr val="accent6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Лист2!$M$7:$M$15</c:f>
              <c:numCache>
                <c:formatCode>General</c:formatCode>
                <c:ptCount val="9"/>
                <c:pt idx="0">
                  <c:v>6.1</c:v>
                </c:pt>
                <c:pt idx="1">
                  <c:v>54.2</c:v>
                </c:pt>
                <c:pt idx="2">
                  <c:v>10.3</c:v>
                </c:pt>
                <c:pt idx="3">
                  <c:v>32.1</c:v>
                </c:pt>
                <c:pt idx="4">
                  <c:v>1</c:v>
                </c:pt>
                <c:pt idx="5">
                  <c:v>28.3</c:v>
                </c:pt>
                <c:pt idx="6">
                  <c:v>16.899999999999999</c:v>
                </c:pt>
                <c:pt idx="7">
                  <c:v>11.4</c:v>
                </c:pt>
                <c:pt idx="8">
                  <c:v>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C7-4E36-9CF4-F4AAD1D1A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457967"/>
        <c:axId val="933444655"/>
        <c:extLst>
          <c:ext xmlns:c15="http://schemas.microsoft.com/office/drawing/2012/chart" uri="{02D57815-91ED-43cb-92C2-25804820EDAC}">
            <c15:filteredRadarSeries>
              <c15:ser>
                <c:idx val="1"/>
                <c:order val="1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Лист2!$A$7:$A$15</c15:sqref>
                        </c15:formulaRef>
                      </c:ext>
                    </c:extLst>
                    <c:strCache>
                      <c:ptCount val="9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Общественно-деловая</c:v>
                      </c:pt>
                      <c:pt idx="3">
                        <c:v>Транспортно-инженерная</c:v>
                      </c:pt>
                      <c:pt idx="4">
                        <c:v>Промышленная</c:v>
                      </c:pt>
                      <c:pt idx="5">
                        <c:v>прочие</c:v>
                      </c:pt>
                      <c:pt idx="6">
                        <c:v>Сельско-хозяйственная</c:v>
                      </c:pt>
                      <c:pt idx="7">
                        <c:v>8 Специальные зоны</c:v>
                      </c:pt>
                      <c:pt idx="8">
                        <c:v>9 Сельское хозяйство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Лист2!$L$7:$L$15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2.6</c:v>
                      </c:pt>
                      <c:pt idx="1">
                        <c:v>38.4</c:v>
                      </c:pt>
                      <c:pt idx="2">
                        <c:v>9.6999999999999993</c:v>
                      </c:pt>
                      <c:pt idx="3">
                        <c:v>20.7</c:v>
                      </c:pt>
                      <c:pt idx="4">
                        <c:v>1</c:v>
                      </c:pt>
                      <c:pt idx="5">
                        <c:v>6.8</c:v>
                      </c:pt>
                      <c:pt idx="6">
                        <c:v>17.3</c:v>
                      </c:pt>
                      <c:pt idx="7">
                        <c:v>7.6</c:v>
                      </c:pt>
                      <c:pt idx="8">
                        <c:v>32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3C7-4E36-9CF4-F4AAD1D1AAED}"/>
                  </c:ext>
                </c:extLst>
              </c15:ser>
            </c15:filteredRadarSeries>
          </c:ext>
        </c:extLst>
      </c:radarChart>
      <c:catAx>
        <c:axId val="93345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3444655"/>
        <c:crosses val="autoZero"/>
        <c:auto val="1"/>
        <c:lblAlgn val="ctr"/>
        <c:lblOffset val="100"/>
        <c:noMultiLvlLbl val="0"/>
      </c:catAx>
      <c:valAx>
        <c:axId val="933444655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345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Заневское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12700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Лист2!$P$7:$P$15</c:f>
              <c:numCache>
                <c:formatCode>General</c:formatCode>
                <c:ptCount val="9"/>
                <c:pt idx="0">
                  <c:v>3</c:v>
                </c:pt>
                <c:pt idx="1">
                  <c:v>18</c:v>
                </c:pt>
                <c:pt idx="2">
                  <c:v>10</c:v>
                </c:pt>
                <c:pt idx="3">
                  <c:v>11</c:v>
                </c:pt>
                <c:pt idx="4">
                  <c:v>2</c:v>
                </c:pt>
                <c:pt idx="5">
                  <c:v>20</c:v>
                </c:pt>
                <c:pt idx="6">
                  <c:v>17</c:v>
                </c:pt>
                <c:pt idx="7">
                  <c:v>19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F-4163-B7CC-172AC62F6CD7}"/>
            </c:ext>
          </c:extLst>
        </c:ser>
        <c:ser>
          <c:idx val="1"/>
          <c:order val="1"/>
          <c:spPr>
            <a:ln w="12700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Лист2!$Q$7:$Q$15</c:f>
              <c:numCache>
                <c:formatCode>General</c:formatCode>
                <c:ptCount val="9"/>
                <c:pt idx="0">
                  <c:v>4</c:v>
                </c:pt>
                <c:pt idx="1">
                  <c:v>21</c:v>
                </c:pt>
                <c:pt idx="2">
                  <c:v>15</c:v>
                </c:pt>
                <c:pt idx="3">
                  <c:v>12</c:v>
                </c:pt>
                <c:pt idx="4">
                  <c:v>2</c:v>
                </c:pt>
                <c:pt idx="5">
                  <c:v>19</c:v>
                </c:pt>
                <c:pt idx="6">
                  <c:v>8</c:v>
                </c:pt>
                <c:pt idx="7">
                  <c:v>19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F-4163-B7CC-172AC62F6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960943"/>
        <c:axId val="939969679"/>
      </c:radarChart>
      <c:catAx>
        <c:axId val="93996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9969679"/>
        <c:crosses val="autoZero"/>
        <c:auto val="1"/>
        <c:lblAlgn val="ctr"/>
        <c:lblOffset val="100"/>
        <c:noMultiLvlLbl val="0"/>
      </c:catAx>
      <c:valAx>
        <c:axId val="939969679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996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Новодевяткинское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2"/>
          <c:order val="0"/>
          <c:spPr>
            <a:ln w="12700"/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Лист2!$N$7:$N$15</c:f>
              <c:numCache>
                <c:formatCode>General</c:formatCode>
                <c:ptCount val="9"/>
                <c:pt idx="0">
                  <c:v>1</c:v>
                </c:pt>
                <c:pt idx="1">
                  <c:v>7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48</c:v>
                </c:pt>
                <c:pt idx="6">
                  <c:v>2</c:v>
                </c:pt>
                <c:pt idx="7">
                  <c:v>36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6E-46E8-A474-7B36F4DB200E}"/>
            </c:ext>
          </c:extLst>
        </c:ser>
        <c:ser>
          <c:idx val="3"/>
          <c:order val="1"/>
          <c:spPr>
            <a:ln w="12700"/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Лист2!$O$7:$O$15</c:f>
              <c:numCache>
                <c:formatCode>General</c:formatCode>
                <c:ptCount val="9"/>
                <c:pt idx="0">
                  <c:v>10</c:v>
                </c:pt>
                <c:pt idx="1">
                  <c:v>12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  <c:pt idx="5">
                  <c:v>52</c:v>
                </c:pt>
                <c:pt idx="6">
                  <c:v>1</c:v>
                </c:pt>
                <c:pt idx="7">
                  <c:v>9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6E-46E8-A474-7B36F4DB200E}"/>
            </c:ext>
          </c:extLst>
        </c:ser>
        <c:ser>
          <c:idx val="0"/>
          <c:order val="2"/>
          <c:spPr>
            <a:ln w="12700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Лист2!$N$7:$N$15</c:f>
              <c:numCache>
                <c:formatCode>General</c:formatCode>
                <c:ptCount val="9"/>
                <c:pt idx="0">
                  <c:v>1</c:v>
                </c:pt>
                <c:pt idx="1">
                  <c:v>7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48</c:v>
                </c:pt>
                <c:pt idx="6">
                  <c:v>2</c:v>
                </c:pt>
                <c:pt idx="7">
                  <c:v>36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6E-46E8-A474-7B36F4DB200E}"/>
            </c:ext>
          </c:extLst>
        </c:ser>
        <c:ser>
          <c:idx val="1"/>
          <c:order val="3"/>
          <c:spPr>
            <a:ln w="12700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Лист2!$O$7:$O$15</c:f>
              <c:numCache>
                <c:formatCode>General</c:formatCode>
                <c:ptCount val="9"/>
                <c:pt idx="0">
                  <c:v>10</c:v>
                </c:pt>
                <c:pt idx="1">
                  <c:v>12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  <c:pt idx="5">
                  <c:v>52</c:v>
                </c:pt>
                <c:pt idx="6">
                  <c:v>1</c:v>
                </c:pt>
                <c:pt idx="7">
                  <c:v>9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6E-46E8-A474-7B36F4DB2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Аннинское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2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Лист2!$R$7:$R$15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36</c:v>
                </c:pt>
                <c:pt idx="7">
                  <c:v>0</c:v>
                </c:pt>
                <c:pt idx="8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6-4396-8327-6A541BB3A924}"/>
            </c:ext>
          </c:extLst>
        </c:ser>
        <c:ser>
          <c:idx val="3"/>
          <c:order val="1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Лист2!$R$7:$R$15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36</c:v>
                </c:pt>
                <c:pt idx="7">
                  <c:v>0</c:v>
                </c:pt>
                <c:pt idx="8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06-4396-8327-6A541BB3A924}"/>
            </c:ext>
          </c:extLst>
        </c:ser>
        <c:ser>
          <c:idx val="0"/>
          <c:order val="2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Лист2!$S$7:$S$15</c:f>
              <c:numCache>
                <c:formatCode>General</c:formatCode>
                <c:ptCount val="9"/>
                <c:pt idx="0">
                  <c:v>3</c:v>
                </c:pt>
                <c:pt idx="1">
                  <c:v>20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7</c:v>
                </c:pt>
                <c:pt idx="6">
                  <c:v>11</c:v>
                </c:pt>
                <c:pt idx="7">
                  <c:v>1</c:v>
                </c:pt>
                <c:pt idx="8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06-4396-8327-6A541BB3A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Адмиралтейский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4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Лист2!$B$74:$B$82</c:f>
              <c:numCache>
                <c:formatCode>General</c:formatCode>
                <c:ptCount val="9"/>
                <c:pt idx="0">
                  <c:v>8</c:v>
                </c:pt>
                <c:pt idx="1">
                  <c:v>22</c:v>
                </c:pt>
                <c:pt idx="2">
                  <c:v>17</c:v>
                </c:pt>
                <c:pt idx="3">
                  <c:v>35</c:v>
                </c:pt>
                <c:pt idx="4">
                  <c:v>0</c:v>
                </c:pt>
                <c:pt idx="5">
                  <c:v>7</c:v>
                </c:pt>
                <c:pt idx="6">
                  <c:v>10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E1E-4440-A9AF-3E8332147FCA}"/>
            </c:ext>
          </c:extLst>
        </c:ser>
        <c:ser>
          <c:idx val="5"/>
          <c:order val="1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Лист2!$B$74:$B$82</c:f>
              <c:numCache>
                <c:formatCode>General</c:formatCode>
                <c:ptCount val="9"/>
                <c:pt idx="0">
                  <c:v>8</c:v>
                </c:pt>
                <c:pt idx="1">
                  <c:v>22</c:v>
                </c:pt>
                <c:pt idx="2">
                  <c:v>17</c:v>
                </c:pt>
                <c:pt idx="3">
                  <c:v>35</c:v>
                </c:pt>
                <c:pt idx="4">
                  <c:v>0</c:v>
                </c:pt>
                <c:pt idx="5">
                  <c:v>7</c:v>
                </c:pt>
                <c:pt idx="6">
                  <c:v>10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E1E-4440-A9AF-3E8332147FCA}"/>
            </c:ext>
          </c:extLst>
        </c:ser>
        <c:ser>
          <c:idx val="6"/>
          <c:order val="2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Лист2!$B$74:$B$82</c:f>
              <c:numCache>
                <c:formatCode>General</c:formatCode>
                <c:ptCount val="9"/>
                <c:pt idx="0">
                  <c:v>8</c:v>
                </c:pt>
                <c:pt idx="1">
                  <c:v>22</c:v>
                </c:pt>
                <c:pt idx="2">
                  <c:v>17</c:v>
                </c:pt>
                <c:pt idx="3">
                  <c:v>35</c:v>
                </c:pt>
                <c:pt idx="4">
                  <c:v>0</c:v>
                </c:pt>
                <c:pt idx="5">
                  <c:v>7</c:v>
                </c:pt>
                <c:pt idx="6">
                  <c:v>10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E1E-4440-A9AF-3E8332147FCA}"/>
            </c:ext>
          </c:extLst>
        </c:ser>
        <c:ser>
          <c:idx val="7"/>
          <c:order val="3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Лист2!$B$74:$B$82</c:f>
              <c:numCache>
                <c:formatCode>General</c:formatCode>
                <c:ptCount val="9"/>
                <c:pt idx="0">
                  <c:v>8</c:v>
                </c:pt>
                <c:pt idx="1">
                  <c:v>22</c:v>
                </c:pt>
                <c:pt idx="2">
                  <c:v>17</c:v>
                </c:pt>
                <c:pt idx="3">
                  <c:v>35</c:v>
                </c:pt>
                <c:pt idx="4">
                  <c:v>0</c:v>
                </c:pt>
                <c:pt idx="5">
                  <c:v>7</c:v>
                </c:pt>
                <c:pt idx="6">
                  <c:v>10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E1E-4440-A9AF-3E8332147FCA}"/>
            </c:ext>
          </c:extLst>
        </c:ser>
        <c:ser>
          <c:idx val="2"/>
          <c:order val="4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Лист2!$B$74:$B$82</c:f>
              <c:numCache>
                <c:formatCode>General</c:formatCode>
                <c:ptCount val="9"/>
                <c:pt idx="0">
                  <c:v>8</c:v>
                </c:pt>
                <c:pt idx="1">
                  <c:v>22</c:v>
                </c:pt>
                <c:pt idx="2">
                  <c:v>17</c:v>
                </c:pt>
                <c:pt idx="3">
                  <c:v>35</c:v>
                </c:pt>
                <c:pt idx="4">
                  <c:v>0</c:v>
                </c:pt>
                <c:pt idx="5">
                  <c:v>7</c:v>
                </c:pt>
                <c:pt idx="6">
                  <c:v>10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E1E-4440-A9AF-3E8332147FCA}"/>
            </c:ext>
          </c:extLst>
        </c:ser>
        <c:ser>
          <c:idx val="3"/>
          <c:order val="5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Лист2!$B$74:$B$82</c:f>
              <c:numCache>
                <c:formatCode>General</c:formatCode>
                <c:ptCount val="9"/>
                <c:pt idx="0">
                  <c:v>8</c:v>
                </c:pt>
                <c:pt idx="1">
                  <c:v>22</c:v>
                </c:pt>
                <c:pt idx="2">
                  <c:v>17</c:v>
                </c:pt>
                <c:pt idx="3">
                  <c:v>35</c:v>
                </c:pt>
                <c:pt idx="4">
                  <c:v>0</c:v>
                </c:pt>
                <c:pt idx="5">
                  <c:v>7</c:v>
                </c:pt>
                <c:pt idx="6">
                  <c:v>10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E1E-4440-A9AF-3E8332147FCA}"/>
            </c:ext>
          </c:extLst>
        </c:ser>
        <c:ser>
          <c:idx val="1"/>
          <c:order val="6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Лист2!$B$74:$B$82</c:f>
              <c:numCache>
                <c:formatCode>General</c:formatCode>
                <c:ptCount val="9"/>
                <c:pt idx="0">
                  <c:v>8</c:v>
                </c:pt>
                <c:pt idx="1">
                  <c:v>22</c:v>
                </c:pt>
                <c:pt idx="2">
                  <c:v>17</c:v>
                </c:pt>
                <c:pt idx="3">
                  <c:v>35</c:v>
                </c:pt>
                <c:pt idx="4">
                  <c:v>0</c:v>
                </c:pt>
                <c:pt idx="5">
                  <c:v>7</c:v>
                </c:pt>
                <c:pt idx="6">
                  <c:v>10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E1E-4440-A9AF-3E8332147FCA}"/>
            </c:ext>
          </c:extLst>
        </c:ser>
        <c:ser>
          <c:idx val="0"/>
          <c:order val="7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Лист2!$B$74:$B$82</c:f>
              <c:numCache>
                <c:formatCode>General</c:formatCode>
                <c:ptCount val="9"/>
                <c:pt idx="0">
                  <c:v>8</c:v>
                </c:pt>
                <c:pt idx="1">
                  <c:v>22</c:v>
                </c:pt>
                <c:pt idx="2">
                  <c:v>17</c:v>
                </c:pt>
                <c:pt idx="3">
                  <c:v>35</c:v>
                </c:pt>
                <c:pt idx="4">
                  <c:v>0</c:v>
                </c:pt>
                <c:pt idx="5">
                  <c:v>7</c:v>
                </c:pt>
                <c:pt idx="6">
                  <c:v>10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E1E-4440-A9AF-3E8332147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Василеостровский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1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Лист2!$C$74:$C$82</c:f>
              <c:numCache>
                <c:formatCode>General</c:formatCode>
                <c:ptCount val="9"/>
                <c:pt idx="0">
                  <c:v>7</c:v>
                </c:pt>
                <c:pt idx="1">
                  <c:v>28</c:v>
                </c:pt>
                <c:pt idx="2">
                  <c:v>22</c:v>
                </c:pt>
                <c:pt idx="3">
                  <c:v>26</c:v>
                </c:pt>
                <c:pt idx="4">
                  <c:v>1</c:v>
                </c:pt>
                <c:pt idx="5">
                  <c:v>5</c:v>
                </c:pt>
                <c:pt idx="6">
                  <c:v>8</c:v>
                </c:pt>
                <c:pt idx="7">
                  <c:v>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B-4991-934C-F41E116BB098}"/>
            </c:ext>
          </c:extLst>
        </c:ser>
        <c:ser>
          <c:idx val="0"/>
          <c:order val="1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Лист2!$C$74:$C$82</c:f>
              <c:numCache>
                <c:formatCode>General</c:formatCode>
                <c:ptCount val="9"/>
                <c:pt idx="0">
                  <c:v>7</c:v>
                </c:pt>
                <c:pt idx="1">
                  <c:v>28</c:v>
                </c:pt>
                <c:pt idx="2">
                  <c:v>22</c:v>
                </c:pt>
                <c:pt idx="3">
                  <c:v>26</c:v>
                </c:pt>
                <c:pt idx="4">
                  <c:v>1</c:v>
                </c:pt>
                <c:pt idx="5">
                  <c:v>5</c:v>
                </c:pt>
                <c:pt idx="6">
                  <c:v>8</c:v>
                </c:pt>
                <c:pt idx="7">
                  <c:v>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B-4991-934C-F41E116BB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Выборгский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1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Лист2!$D$74:$D$82</c:f>
              <c:numCache>
                <c:formatCode>General</c:formatCode>
                <c:ptCount val="9"/>
                <c:pt idx="0">
                  <c:v>29</c:v>
                </c:pt>
                <c:pt idx="1">
                  <c:v>24</c:v>
                </c:pt>
                <c:pt idx="2">
                  <c:v>17</c:v>
                </c:pt>
                <c:pt idx="3">
                  <c:v>7</c:v>
                </c:pt>
                <c:pt idx="4">
                  <c:v>1</c:v>
                </c:pt>
                <c:pt idx="5">
                  <c:v>8</c:v>
                </c:pt>
                <c:pt idx="6">
                  <c:v>3</c:v>
                </c:pt>
                <c:pt idx="7">
                  <c:v>7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1-420D-81E6-FF62C35DF88C}"/>
            </c:ext>
          </c:extLst>
        </c:ser>
        <c:ser>
          <c:idx val="0"/>
          <c:order val="1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Лист2!$D$74:$D$82</c:f>
              <c:numCache>
                <c:formatCode>General</c:formatCode>
                <c:ptCount val="9"/>
                <c:pt idx="0">
                  <c:v>29</c:v>
                </c:pt>
                <c:pt idx="1">
                  <c:v>24</c:v>
                </c:pt>
                <c:pt idx="2">
                  <c:v>17</c:v>
                </c:pt>
                <c:pt idx="3">
                  <c:v>7</c:v>
                </c:pt>
                <c:pt idx="4">
                  <c:v>1</c:v>
                </c:pt>
                <c:pt idx="5">
                  <c:v>8</c:v>
                </c:pt>
                <c:pt idx="6">
                  <c:v>3</c:v>
                </c:pt>
                <c:pt idx="7">
                  <c:v>7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D1-420D-81E6-FF62C35DF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Калининский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1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Лист2!$E$74:$E$82</c:f>
              <c:numCache>
                <c:formatCode>General</c:formatCode>
                <c:ptCount val="9"/>
                <c:pt idx="0">
                  <c:v>13</c:v>
                </c:pt>
                <c:pt idx="1">
                  <c:v>36</c:v>
                </c:pt>
                <c:pt idx="2">
                  <c:v>22</c:v>
                </c:pt>
                <c:pt idx="3">
                  <c:v>15</c:v>
                </c:pt>
                <c:pt idx="4">
                  <c:v>2</c:v>
                </c:pt>
                <c:pt idx="5">
                  <c:v>8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9-4CA6-A751-654D3A25AC47}"/>
            </c:ext>
          </c:extLst>
        </c:ser>
        <c:ser>
          <c:idx val="0"/>
          <c:order val="1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Лист2!$E$74:$E$82</c:f>
              <c:numCache>
                <c:formatCode>General</c:formatCode>
                <c:ptCount val="9"/>
                <c:pt idx="0">
                  <c:v>13</c:v>
                </c:pt>
                <c:pt idx="1">
                  <c:v>36</c:v>
                </c:pt>
                <c:pt idx="2">
                  <c:v>22</c:v>
                </c:pt>
                <c:pt idx="3">
                  <c:v>15</c:v>
                </c:pt>
                <c:pt idx="4">
                  <c:v>2</c:v>
                </c:pt>
                <c:pt idx="5">
                  <c:v>8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39-4CA6-A751-654D3A25A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Кировский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1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Лист2!$F$74:$F$82</c:f>
              <c:numCache>
                <c:formatCode>General</c:formatCode>
                <c:ptCount val="9"/>
                <c:pt idx="0">
                  <c:v>7</c:v>
                </c:pt>
                <c:pt idx="1">
                  <c:v>22</c:v>
                </c:pt>
                <c:pt idx="2">
                  <c:v>29</c:v>
                </c:pt>
                <c:pt idx="3">
                  <c:v>7</c:v>
                </c:pt>
                <c:pt idx="4">
                  <c:v>4</c:v>
                </c:pt>
                <c:pt idx="5">
                  <c:v>15</c:v>
                </c:pt>
                <c:pt idx="6">
                  <c:v>16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31-42EF-9445-7A13A69C54A2}"/>
            </c:ext>
          </c:extLst>
        </c:ser>
        <c:ser>
          <c:idx val="0"/>
          <c:order val="1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Лист2!$F$74:$F$82</c:f>
              <c:numCache>
                <c:formatCode>General</c:formatCode>
                <c:ptCount val="9"/>
                <c:pt idx="0">
                  <c:v>7</c:v>
                </c:pt>
                <c:pt idx="1">
                  <c:v>22</c:v>
                </c:pt>
                <c:pt idx="2">
                  <c:v>29</c:v>
                </c:pt>
                <c:pt idx="3">
                  <c:v>7</c:v>
                </c:pt>
                <c:pt idx="4">
                  <c:v>4</c:v>
                </c:pt>
                <c:pt idx="5">
                  <c:v>15</c:v>
                </c:pt>
                <c:pt idx="6">
                  <c:v>16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31-42EF-9445-7A13A69C5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Колпинский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Лист2!$G$74:$G$82</c:f>
              <c:numCache>
                <c:formatCode>General</c:formatCode>
                <c:ptCount val="9"/>
                <c:pt idx="0">
                  <c:v>22</c:v>
                </c:pt>
                <c:pt idx="1">
                  <c:v>14</c:v>
                </c:pt>
                <c:pt idx="2">
                  <c:v>11</c:v>
                </c:pt>
                <c:pt idx="3">
                  <c:v>2</c:v>
                </c:pt>
                <c:pt idx="4">
                  <c:v>5</c:v>
                </c:pt>
                <c:pt idx="5">
                  <c:v>25</c:v>
                </c:pt>
                <c:pt idx="6">
                  <c:v>5</c:v>
                </c:pt>
                <c:pt idx="7">
                  <c:v>9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29-4E4D-91E0-57D10E72C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Красногвардейский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Лист2!$H$74:$H$82</c:f>
              <c:numCache>
                <c:formatCode>General</c:formatCode>
                <c:ptCount val="9"/>
                <c:pt idx="0">
                  <c:v>12</c:v>
                </c:pt>
                <c:pt idx="1">
                  <c:v>25</c:v>
                </c:pt>
                <c:pt idx="2">
                  <c:v>23</c:v>
                </c:pt>
                <c:pt idx="3">
                  <c:v>12</c:v>
                </c:pt>
                <c:pt idx="4">
                  <c:v>1</c:v>
                </c:pt>
                <c:pt idx="5">
                  <c:v>16</c:v>
                </c:pt>
                <c:pt idx="6">
                  <c:v>5</c:v>
                </c:pt>
                <c:pt idx="7">
                  <c:v>5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BF-44B5-8EA6-286260E59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Красносельский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1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Лист2!$I$74:$I$82</c:f>
              <c:numCache>
                <c:formatCode>General</c:formatCode>
                <c:ptCount val="9"/>
                <c:pt idx="0">
                  <c:v>12</c:v>
                </c:pt>
                <c:pt idx="1">
                  <c:v>29</c:v>
                </c:pt>
                <c:pt idx="2">
                  <c:v>14</c:v>
                </c:pt>
                <c:pt idx="3">
                  <c:v>4</c:v>
                </c:pt>
                <c:pt idx="4">
                  <c:v>3</c:v>
                </c:pt>
                <c:pt idx="5">
                  <c:v>13</c:v>
                </c:pt>
                <c:pt idx="6">
                  <c:v>2</c:v>
                </c:pt>
                <c:pt idx="7">
                  <c:v>18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B80-4A03-8A2B-4295FB10C1CC}"/>
            </c:ext>
          </c:extLst>
        </c:ser>
        <c:ser>
          <c:idx val="0"/>
          <c:order val="1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Лист2!$I$74:$I$82</c:f>
              <c:numCache>
                <c:formatCode>General</c:formatCode>
                <c:ptCount val="9"/>
                <c:pt idx="0">
                  <c:v>12</c:v>
                </c:pt>
                <c:pt idx="1">
                  <c:v>29</c:v>
                </c:pt>
                <c:pt idx="2">
                  <c:v>14</c:v>
                </c:pt>
                <c:pt idx="3">
                  <c:v>4</c:v>
                </c:pt>
                <c:pt idx="4">
                  <c:v>3</c:v>
                </c:pt>
                <c:pt idx="5">
                  <c:v>13</c:v>
                </c:pt>
                <c:pt idx="6">
                  <c:v>2</c:v>
                </c:pt>
                <c:pt idx="7">
                  <c:v>18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80-4A03-8A2B-4295FB10C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Кронштадтский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Лист2!$J$74:$J$82</c:f>
              <c:numCache>
                <c:formatCode>General</c:formatCode>
                <c:ptCount val="9"/>
                <c:pt idx="0">
                  <c:v>26</c:v>
                </c:pt>
                <c:pt idx="1">
                  <c:v>9</c:v>
                </c:pt>
                <c:pt idx="2">
                  <c:v>27</c:v>
                </c:pt>
                <c:pt idx="3">
                  <c:v>17</c:v>
                </c:pt>
                <c:pt idx="4">
                  <c:v>2</c:v>
                </c:pt>
                <c:pt idx="5">
                  <c:v>10</c:v>
                </c:pt>
                <c:pt idx="6">
                  <c:v>1</c:v>
                </c:pt>
                <c:pt idx="7">
                  <c:v>8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71-464D-94CF-627B67185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Курортный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Лист2!$K$74:$K$82</c:f>
              <c:numCache>
                <c:formatCode>General</c:formatCode>
                <c:ptCount val="9"/>
                <c:pt idx="0">
                  <c:v>72</c:v>
                </c:pt>
                <c:pt idx="1">
                  <c:v>10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38-43A6-8C24-BA7DAC859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Московский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Лист2!$L$74:$L$82</c:f>
              <c:numCache>
                <c:formatCode>General</c:formatCode>
                <c:ptCount val="9"/>
                <c:pt idx="0">
                  <c:v>4</c:v>
                </c:pt>
                <c:pt idx="1">
                  <c:v>19</c:v>
                </c:pt>
                <c:pt idx="2">
                  <c:v>36</c:v>
                </c:pt>
                <c:pt idx="3">
                  <c:v>19</c:v>
                </c:pt>
                <c:pt idx="4">
                  <c:v>1</c:v>
                </c:pt>
                <c:pt idx="5">
                  <c:v>9</c:v>
                </c:pt>
                <c:pt idx="6">
                  <c:v>0</c:v>
                </c:pt>
                <c:pt idx="7">
                  <c:v>6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08-4B33-90BD-76B1399C9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Невский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Лист2!$M$74:$M$82</c:f>
              <c:numCache>
                <c:formatCode>General</c:formatCode>
                <c:ptCount val="9"/>
                <c:pt idx="0">
                  <c:v>6</c:v>
                </c:pt>
                <c:pt idx="1">
                  <c:v>29</c:v>
                </c:pt>
                <c:pt idx="2">
                  <c:v>26</c:v>
                </c:pt>
                <c:pt idx="3">
                  <c:v>9</c:v>
                </c:pt>
                <c:pt idx="4">
                  <c:v>3</c:v>
                </c:pt>
                <c:pt idx="5">
                  <c:v>17</c:v>
                </c:pt>
                <c:pt idx="6">
                  <c:v>7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5E-4BF8-A2F0-7C41D29C4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Петроградский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Лист2!$N$74:$N$82</c:f>
              <c:numCache>
                <c:formatCode>General</c:formatCode>
                <c:ptCount val="9"/>
                <c:pt idx="0">
                  <c:v>28</c:v>
                </c:pt>
                <c:pt idx="1">
                  <c:v>20</c:v>
                </c:pt>
                <c:pt idx="2">
                  <c:v>10</c:v>
                </c:pt>
                <c:pt idx="3">
                  <c:v>18</c:v>
                </c:pt>
                <c:pt idx="4">
                  <c:v>1</c:v>
                </c:pt>
                <c:pt idx="5">
                  <c:v>2</c:v>
                </c:pt>
                <c:pt idx="6">
                  <c:v>21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B8-4856-B124-19ED4C8DA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Петродворцовый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Лист2!$O$74:$O$82</c:f>
              <c:numCache>
                <c:formatCode>General</c:formatCode>
                <c:ptCount val="9"/>
                <c:pt idx="0">
                  <c:v>47</c:v>
                </c:pt>
                <c:pt idx="1">
                  <c:v>19</c:v>
                </c:pt>
                <c:pt idx="2">
                  <c:v>11</c:v>
                </c:pt>
                <c:pt idx="3">
                  <c:v>7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C-43BD-82F6-B5FBBE875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Приморский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Лист2!$P$74:$P$82</c:f>
              <c:numCache>
                <c:formatCode>General</c:formatCode>
                <c:ptCount val="9"/>
                <c:pt idx="0">
                  <c:v>27</c:v>
                </c:pt>
                <c:pt idx="1">
                  <c:v>28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7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66-4627-ADFD-22C034052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Пушскинский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Лист2!$Q$74:$Q$82</c:f>
              <c:numCache>
                <c:formatCode>General</c:formatCode>
                <c:ptCount val="9"/>
                <c:pt idx="0">
                  <c:v>16</c:v>
                </c:pt>
                <c:pt idx="1">
                  <c:v>19</c:v>
                </c:pt>
                <c:pt idx="2">
                  <c:v>15</c:v>
                </c:pt>
                <c:pt idx="3">
                  <c:v>8</c:v>
                </c:pt>
                <c:pt idx="4">
                  <c:v>1</c:v>
                </c:pt>
                <c:pt idx="5">
                  <c:v>12</c:v>
                </c:pt>
                <c:pt idx="6">
                  <c:v>1</c:v>
                </c:pt>
                <c:pt idx="7">
                  <c:v>6</c:v>
                </c:pt>
                <c:pt idx="8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EA-4AB0-A4A3-022AF325E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Фрунзенский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Лист2!$R$74:$R$82</c:f>
              <c:numCache>
                <c:formatCode>General</c:formatCode>
                <c:ptCount val="9"/>
                <c:pt idx="0">
                  <c:v>7</c:v>
                </c:pt>
                <c:pt idx="1">
                  <c:v>32</c:v>
                </c:pt>
                <c:pt idx="2">
                  <c:v>27</c:v>
                </c:pt>
                <c:pt idx="3">
                  <c:v>12</c:v>
                </c:pt>
                <c:pt idx="4">
                  <c:v>2</c:v>
                </c:pt>
                <c:pt idx="5">
                  <c:v>14</c:v>
                </c:pt>
                <c:pt idx="6">
                  <c:v>1</c:v>
                </c:pt>
                <c:pt idx="7">
                  <c:v>5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5-4878-B694-9149B1857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Центральный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Лист2!$A$7:$A$15</c:f>
              <c:strCache>
                <c:ptCount val="9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  <c:pt idx="7">
                  <c:v>8 Специальные зоны</c:v>
                </c:pt>
                <c:pt idx="8">
                  <c:v>9 Сельское хозяйство</c:v>
                </c:pt>
              </c:strCache>
            </c:strRef>
          </c:cat>
          <c:val>
            <c:numRef>
              <c:f>Лист2!$S$74:$S$82</c:f>
              <c:numCache>
                <c:formatCode>General</c:formatCode>
                <c:ptCount val="9"/>
                <c:pt idx="0">
                  <c:v>7</c:v>
                </c:pt>
                <c:pt idx="1">
                  <c:v>28</c:v>
                </c:pt>
                <c:pt idx="2">
                  <c:v>18</c:v>
                </c:pt>
                <c:pt idx="3">
                  <c:v>29</c:v>
                </c:pt>
                <c:pt idx="4">
                  <c:v>2</c:v>
                </c:pt>
                <c:pt idx="5">
                  <c:v>2</c:v>
                </c:pt>
                <c:pt idx="6">
                  <c:v>13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0-4F6B-8FD2-8D297E51A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734431"/>
        <c:axId val="656735263"/>
      </c:radarChart>
      <c:catAx>
        <c:axId val="6567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5263"/>
        <c:crosses val="autoZero"/>
        <c:auto val="1"/>
        <c:lblAlgn val="ctr"/>
        <c:lblOffset val="100"/>
        <c:noMultiLvlLbl val="0"/>
      </c:catAx>
      <c:valAx>
        <c:axId val="6567352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673443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Заневское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6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Лист2!$A$7:$A$13</c:f>
              <c:strCache>
                <c:ptCount val="7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</c:strCache>
            </c:strRef>
          </c:cat>
          <c:val>
            <c:numRef>
              <c:f>Лист2!$U$7:$U$13</c:f>
              <c:numCache>
                <c:formatCode>0.00</c:formatCode>
                <c:ptCount val="7"/>
                <c:pt idx="0">
                  <c:v>1.59</c:v>
                </c:pt>
                <c:pt idx="1">
                  <c:v>5.75</c:v>
                </c:pt>
                <c:pt idx="2">
                  <c:v>8.6300000000000008</c:v>
                </c:pt>
                <c:pt idx="3">
                  <c:v>5.29</c:v>
                </c:pt>
                <c:pt idx="4">
                  <c:v>13.06</c:v>
                </c:pt>
                <c:pt idx="5">
                  <c:v>47.419999999999987</c:v>
                </c:pt>
                <c:pt idx="6">
                  <c:v>18.260000000000002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2-44AD-9872-1C3BA7DD182C}"/>
            </c:ext>
          </c:extLst>
        </c:ser>
        <c:ser>
          <c:idx val="2"/>
          <c:order val="2"/>
          <c:spPr>
            <a:ln w="28575" cap="rnd">
              <a:solidFill>
                <a:schemeClr val="accent6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Лист2!$A$7:$A$13</c:f>
              <c:strCache>
                <c:ptCount val="7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</c:strCache>
            </c:strRef>
          </c:cat>
          <c:val>
            <c:numRef>
              <c:f>Лист2!$V$7:$V$13</c:f>
              <c:numCache>
                <c:formatCode>0.00</c:formatCode>
                <c:ptCount val="7"/>
                <c:pt idx="0">
                  <c:v>2.86</c:v>
                </c:pt>
                <c:pt idx="1">
                  <c:v>18.04</c:v>
                </c:pt>
                <c:pt idx="2">
                  <c:v>12.05</c:v>
                </c:pt>
                <c:pt idx="3">
                  <c:v>11.43</c:v>
                </c:pt>
                <c:pt idx="4">
                  <c:v>16.95</c:v>
                </c:pt>
                <c:pt idx="5">
                  <c:v>20.419999999999991</c:v>
                </c:pt>
                <c:pt idx="6">
                  <c:v>18.25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E2-44AD-9872-1C3BA7DD1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457967"/>
        <c:axId val="933444655"/>
        <c:extLst>
          <c:ext xmlns:c15="http://schemas.microsoft.com/office/drawing/2012/chart" uri="{02D57815-91ED-43cb-92C2-25804820EDAC}">
            <c15:filteredRadarSeries>
              <c15:ser>
                <c:idx val="1"/>
                <c:order val="1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Лист2!$A$7:$A$13</c15:sqref>
                        </c15:formulaRef>
                      </c:ext>
                    </c:extLst>
                    <c:strCache>
                      <c:ptCount val="7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Общественно-деловая</c:v>
                      </c:pt>
                      <c:pt idx="3">
                        <c:v>Транспортно-инженерная</c:v>
                      </c:pt>
                      <c:pt idx="4">
                        <c:v>Промышленная</c:v>
                      </c:pt>
                      <c:pt idx="5">
                        <c:v>прочие</c:v>
                      </c:pt>
                      <c:pt idx="6">
                        <c:v>Сельско-хозяйственная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Лист2!$L$7:$L$15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2.6</c:v>
                      </c:pt>
                      <c:pt idx="1">
                        <c:v>38.4</c:v>
                      </c:pt>
                      <c:pt idx="2">
                        <c:v>9.6999999999999993</c:v>
                      </c:pt>
                      <c:pt idx="3">
                        <c:v>20.7</c:v>
                      </c:pt>
                      <c:pt idx="4">
                        <c:v>1</c:v>
                      </c:pt>
                      <c:pt idx="5">
                        <c:v>6.8</c:v>
                      </c:pt>
                      <c:pt idx="6">
                        <c:v>17.3</c:v>
                      </c:pt>
                      <c:pt idx="7">
                        <c:v>7.6</c:v>
                      </c:pt>
                      <c:pt idx="8">
                        <c:v>32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EE2-44AD-9872-1C3BA7DD182C}"/>
                  </c:ext>
                </c:extLst>
              </c15:ser>
            </c15:filteredRadarSeries>
          </c:ext>
        </c:extLst>
      </c:radarChart>
      <c:catAx>
        <c:axId val="93345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3444655"/>
        <c:crosses val="autoZero"/>
        <c:auto val="1"/>
        <c:lblAlgn val="ctr"/>
        <c:lblOffset val="100"/>
        <c:noMultiLvlLbl val="0"/>
      </c:catAx>
      <c:valAx>
        <c:axId val="933444655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345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Пудостьское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6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Лист2!$A$7:$A$13</c:f>
              <c:strCache>
                <c:ptCount val="7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</c:strCache>
            </c:strRef>
          </c:cat>
          <c:val>
            <c:numRef>
              <c:f>Лист2!$AD$7:$AD$13</c:f>
              <c:numCache>
                <c:formatCode>0.00</c:formatCode>
                <c:ptCount val="7"/>
                <c:pt idx="0">
                  <c:v>36.642931809234192</c:v>
                </c:pt>
                <c:pt idx="1">
                  <c:v>5.6779028251041934</c:v>
                </c:pt>
                <c:pt idx="2">
                  <c:v>0.3692591737825987</c:v>
                </c:pt>
                <c:pt idx="3">
                  <c:v>9.8831131806519049E-2</c:v>
                </c:pt>
                <c:pt idx="4">
                  <c:v>0.27782680115665004</c:v>
                </c:pt>
                <c:pt idx="5">
                  <c:v>7.6722417561531913</c:v>
                </c:pt>
                <c:pt idx="6">
                  <c:v>49.261006502762655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E-47DA-9F50-AC74B0D18EA4}"/>
            </c:ext>
          </c:extLst>
        </c:ser>
        <c:ser>
          <c:idx val="2"/>
          <c:order val="2"/>
          <c:spPr>
            <a:ln w="28575" cap="rnd">
              <a:solidFill>
                <a:schemeClr val="accent6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Лист2!$A$7:$A$13</c:f>
              <c:strCache>
                <c:ptCount val="7"/>
                <c:pt idx="0">
                  <c:v>Рекреационная</c:v>
                </c:pt>
                <c:pt idx="1">
                  <c:v>Жилая</c:v>
                </c:pt>
                <c:pt idx="2">
                  <c:v>Общественно-деловая</c:v>
                </c:pt>
                <c:pt idx="3">
                  <c:v>Транспортно-инженерная</c:v>
                </c:pt>
                <c:pt idx="4">
                  <c:v>Промышленная</c:v>
                </c:pt>
                <c:pt idx="5">
                  <c:v>прочие</c:v>
                </c:pt>
                <c:pt idx="6">
                  <c:v>Сельско-хозяйственная</c:v>
                </c:pt>
              </c:strCache>
            </c:strRef>
          </c:cat>
          <c:val>
            <c:numRef>
              <c:f>Лист2!$AE$7:$AE$13</c:f>
              <c:numCache>
                <c:formatCode>0.00</c:formatCode>
                <c:ptCount val="7"/>
                <c:pt idx="0">
                  <c:v>37.241688274663659</c:v>
                </c:pt>
                <c:pt idx="1">
                  <c:v>7.1852133422027933</c:v>
                </c:pt>
                <c:pt idx="2">
                  <c:v>0.3706846227990388</c:v>
                </c:pt>
                <c:pt idx="3">
                  <c:v>0.28902675771439429</c:v>
                </c:pt>
                <c:pt idx="4">
                  <c:v>1.9096265323576926</c:v>
                </c:pt>
                <c:pt idx="5">
                  <c:v>5.5312852119846374</c:v>
                </c:pt>
                <c:pt idx="6">
                  <c:v>47.472475258277782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E-47DA-9F50-AC74B0D18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457967"/>
        <c:axId val="933444655"/>
        <c:extLst>
          <c:ext xmlns:c15="http://schemas.microsoft.com/office/drawing/2012/chart" uri="{02D57815-91ED-43cb-92C2-25804820EDAC}">
            <c15:filteredRadarSeries>
              <c15:ser>
                <c:idx val="1"/>
                <c:order val="1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Лист2!$A$7:$A$13</c15:sqref>
                        </c15:formulaRef>
                      </c:ext>
                    </c:extLst>
                    <c:strCache>
                      <c:ptCount val="7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Общественно-деловая</c:v>
                      </c:pt>
                      <c:pt idx="3">
                        <c:v>Транспортно-инженерная</c:v>
                      </c:pt>
                      <c:pt idx="4">
                        <c:v>Промышленная</c:v>
                      </c:pt>
                      <c:pt idx="5">
                        <c:v>прочие</c:v>
                      </c:pt>
                      <c:pt idx="6">
                        <c:v>Сельско-хозяйственная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Лист2!$L$7:$L$15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2.6</c:v>
                      </c:pt>
                      <c:pt idx="1">
                        <c:v>38.4</c:v>
                      </c:pt>
                      <c:pt idx="2">
                        <c:v>9.6999999999999993</c:v>
                      </c:pt>
                      <c:pt idx="3">
                        <c:v>20.7</c:v>
                      </c:pt>
                      <c:pt idx="4">
                        <c:v>1</c:v>
                      </c:pt>
                      <c:pt idx="5">
                        <c:v>6.8</c:v>
                      </c:pt>
                      <c:pt idx="6">
                        <c:v>17.3</c:v>
                      </c:pt>
                      <c:pt idx="7">
                        <c:v>7.6</c:v>
                      </c:pt>
                      <c:pt idx="8">
                        <c:v>32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3CE-47DA-9F50-AC74B0D18EA4}"/>
                  </c:ext>
                </c:extLst>
              </c15:ser>
            </c15:filteredRadarSeries>
          </c:ext>
        </c:extLst>
      </c:radarChart>
      <c:catAx>
        <c:axId val="93345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3444655"/>
        <c:crosses val="autoZero"/>
        <c:auto val="1"/>
        <c:lblAlgn val="ctr"/>
        <c:lblOffset val="100"/>
        <c:noMultiLvlLbl val="0"/>
      </c:catAx>
      <c:valAx>
        <c:axId val="933444655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345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Население Санкт-Петербурга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Лист2!$C$206:$R$206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Лист2!$C$207:$R$207</c:f>
              <c:numCache>
                <c:formatCode>General</c:formatCode>
                <c:ptCount val="16"/>
                <c:pt idx="0">
                  <c:v>4879.5659999999998</c:v>
                </c:pt>
                <c:pt idx="1">
                  <c:v>4899.3440000000001</c:v>
                </c:pt>
                <c:pt idx="2">
                  <c:v>4953.2190000000001</c:v>
                </c:pt>
                <c:pt idx="3">
                  <c:v>5028</c:v>
                </c:pt>
                <c:pt idx="4">
                  <c:v>5131.942</c:v>
                </c:pt>
                <c:pt idx="5">
                  <c:v>5191.6899999999996</c:v>
                </c:pt>
                <c:pt idx="6">
                  <c:v>5225.6899999999996</c:v>
                </c:pt>
                <c:pt idx="7">
                  <c:v>5281.5789999999997</c:v>
                </c:pt>
                <c:pt idx="8">
                  <c:v>5351.9350000000004</c:v>
                </c:pt>
                <c:pt idx="9">
                  <c:v>5383.89</c:v>
                </c:pt>
                <c:pt idx="10">
                  <c:v>5398.0640000000003</c:v>
                </c:pt>
                <c:pt idx="11">
                  <c:v>5601.9110000000001</c:v>
                </c:pt>
                <c:pt idx="12">
                  <c:v>5607.9160000000002</c:v>
                </c:pt>
                <c:pt idx="13">
                  <c:v>5600.0439999999999</c:v>
                </c:pt>
                <c:pt idx="14">
                  <c:v>5597.7629999999999</c:v>
                </c:pt>
                <c:pt idx="15">
                  <c:v>5652.9219999999996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3-4DA7-865C-DEBB7CDE4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861455"/>
        <c:axId val="891847727"/>
      </c:lineChart>
      <c:catAx>
        <c:axId val="89186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1847727"/>
        <c:crosses val="autoZero"/>
        <c:auto val="1"/>
        <c:lblAlgn val="ctr"/>
        <c:lblOffset val="100"/>
        <c:noMultiLvlLbl val="0"/>
      </c:catAx>
      <c:valAx>
        <c:axId val="89184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186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Свердловское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Лист4!$O$18:$O$24</c:f>
              <c:numCache>
                <c:formatCode>0.00</c:formatCode>
                <c:ptCount val="7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ABE-4D6C-88F1-EA9FCE5453B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Лист4!#REF!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ABE-4D6C-88F1-EA9FCE545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748895"/>
        <c:axId val="430769695"/>
      </c:radarChart>
      <c:catAx>
        <c:axId val="43074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69695"/>
        <c:crosses val="autoZero"/>
        <c:auto val="1"/>
        <c:lblAlgn val="ctr"/>
        <c:lblOffset val="100"/>
        <c:noMultiLvlLbl val="0"/>
      </c:catAx>
      <c:valAx>
        <c:axId val="4307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4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Всеволожск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Лист4!$M$18:$M$24</c:f>
              <c:numCache>
                <c:formatCode>0.00</c:formatCode>
                <c:ptCount val="7"/>
                <c:pt idx="0">
                  <c:v>7.9</c:v>
                </c:pt>
                <c:pt idx="1">
                  <c:v>12.2</c:v>
                </c:pt>
                <c:pt idx="2">
                  <c:v>4.7</c:v>
                </c:pt>
                <c:pt idx="3">
                  <c:v>1.2</c:v>
                </c:pt>
                <c:pt idx="4">
                  <c:v>3.3</c:v>
                </c:pt>
                <c:pt idx="5">
                  <c:v>64.099999999999994</c:v>
                </c:pt>
                <c:pt idx="6">
                  <c:v>6.6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21A-49A1-8F97-2A1568F55AD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Лист4!$N$18:$N$24</c:f>
              <c:numCache>
                <c:formatCode>0.00</c:formatCode>
                <c:ptCount val="7"/>
                <c:pt idx="0">
                  <c:v>6.5</c:v>
                </c:pt>
                <c:pt idx="1">
                  <c:v>13.5</c:v>
                </c:pt>
                <c:pt idx="2">
                  <c:v>6.6000000000000005</c:v>
                </c:pt>
                <c:pt idx="3">
                  <c:v>1.8</c:v>
                </c:pt>
                <c:pt idx="4">
                  <c:v>3.4</c:v>
                </c:pt>
                <c:pt idx="5">
                  <c:v>63.000000000000007</c:v>
                </c:pt>
                <c:pt idx="6">
                  <c:v>5.2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21A-49A1-8F97-2A1568F55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748895"/>
        <c:axId val="430769695"/>
      </c:radarChart>
      <c:catAx>
        <c:axId val="43074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69695"/>
        <c:crosses val="autoZero"/>
        <c:auto val="1"/>
        <c:lblAlgn val="ctr"/>
        <c:lblOffset val="100"/>
        <c:noMultiLvlLbl val="0"/>
      </c:catAx>
      <c:valAx>
        <c:axId val="4307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4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Муринское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2"/>
          <c:order val="0"/>
          <c:marker>
            <c:symbol val="none"/>
          </c:marker>
          <c:val>
            <c:numRef>
              <c:f>Лист4!$D$18:$D$24</c:f>
              <c:numCache>
                <c:formatCode>0.00</c:formatCode>
                <c:ptCount val="7"/>
                <c:pt idx="0">
                  <c:v>31.7</c:v>
                </c:pt>
                <c:pt idx="1">
                  <c:v>20.3</c:v>
                </c:pt>
                <c:pt idx="2">
                  <c:v>16.899999999999999</c:v>
                </c:pt>
                <c:pt idx="3">
                  <c:v>3</c:v>
                </c:pt>
                <c:pt idx="4">
                  <c:v>12.1</c:v>
                </c:pt>
                <c:pt idx="5">
                  <c:v>3.7000000000000011</c:v>
                </c:pt>
                <c:pt idx="6">
                  <c:v>12.3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2C6-4360-917E-6422F5AE39DA}"/>
            </c:ext>
          </c:extLst>
        </c:ser>
        <c:ser>
          <c:idx val="3"/>
          <c:order val="1"/>
          <c:marker>
            <c:symbol val="none"/>
          </c:marker>
          <c:val>
            <c:numRef>
              <c:f>Лист4!$E$18:$E$24</c:f>
              <c:numCache>
                <c:formatCode>0.00</c:formatCode>
                <c:ptCount val="7"/>
                <c:pt idx="0">
                  <c:v>13.2</c:v>
                </c:pt>
                <c:pt idx="1">
                  <c:v>24.2</c:v>
                </c:pt>
                <c:pt idx="2">
                  <c:v>21.9</c:v>
                </c:pt>
                <c:pt idx="3">
                  <c:v>14.6</c:v>
                </c:pt>
                <c:pt idx="4">
                  <c:v>11.1</c:v>
                </c:pt>
                <c:pt idx="5">
                  <c:v>6.0999999999999961</c:v>
                </c:pt>
                <c:pt idx="6">
                  <c:v>8.9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2C6-4360-917E-6422F5AE39DA}"/>
            </c:ext>
          </c:extLst>
        </c:ser>
        <c:ser>
          <c:idx val="0"/>
          <c:order val="2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Лист4!$D$18:$D$24</c:f>
              <c:numCache>
                <c:formatCode>0.00</c:formatCode>
                <c:ptCount val="7"/>
                <c:pt idx="0">
                  <c:v>31.7</c:v>
                </c:pt>
                <c:pt idx="1">
                  <c:v>20.3</c:v>
                </c:pt>
                <c:pt idx="2">
                  <c:v>16.899999999999999</c:v>
                </c:pt>
                <c:pt idx="3">
                  <c:v>3</c:v>
                </c:pt>
                <c:pt idx="4">
                  <c:v>12.1</c:v>
                </c:pt>
                <c:pt idx="5">
                  <c:v>3.7000000000000011</c:v>
                </c:pt>
                <c:pt idx="6">
                  <c:v>12.3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2C6-4360-917E-6422F5AE39DA}"/>
            </c:ext>
          </c:extLst>
        </c:ser>
        <c:ser>
          <c:idx val="1"/>
          <c:order val="3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Лист4!$E$18:$E$24</c:f>
              <c:numCache>
                <c:formatCode>0.00</c:formatCode>
                <c:ptCount val="7"/>
                <c:pt idx="0">
                  <c:v>13.2</c:v>
                </c:pt>
                <c:pt idx="1">
                  <c:v>24.2</c:v>
                </c:pt>
                <c:pt idx="2">
                  <c:v>21.9</c:v>
                </c:pt>
                <c:pt idx="3">
                  <c:v>14.6</c:v>
                </c:pt>
                <c:pt idx="4">
                  <c:v>11.1</c:v>
                </c:pt>
                <c:pt idx="5">
                  <c:v>6.0999999999999961</c:v>
                </c:pt>
                <c:pt idx="6">
                  <c:v>8.9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2C6-4360-917E-6422F5AE3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748895"/>
        <c:axId val="430769695"/>
      </c:radarChart>
      <c:catAx>
        <c:axId val="43074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69695"/>
        <c:crosses val="autoZero"/>
        <c:auto val="1"/>
        <c:lblAlgn val="ctr"/>
        <c:lblOffset val="100"/>
        <c:noMultiLvlLbl val="0"/>
      </c:catAx>
      <c:valAx>
        <c:axId val="4307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48895"/>
        <c:crosses val="autoZero"/>
        <c:crossBetween val="between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Санкт-Петербург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Лист4!$B$18:$B$24</c:f>
              <c:numCache>
                <c:formatCode>0.00</c:formatCode>
                <c:ptCount val="7"/>
                <c:pt idx="0">
                  <c:v>29</c:v>
                </c:pt>
                <c:pt idx="1">
                  <c:v>23</c:v>
                </c:pt>
                <c:pt idx="2">
                  <c:v>12</c:v>
                </c:pt>
                <c:pt idx="3">
                  <c:v>7</c:v>
                </c:pt>
                <c:pt idx="4">
                  <c:v>13</c:v>
                </c:pt>
                <c:pt idx="5">
                  <c:v>8</c:v>
                </c:pt>
                <c:pt idx="6">
                  <c:v>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8F5-4F0E-8CCB-EBD0726474C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Лист4!$C$18:$C$24</c:f>
              <c:numCache>
                <c:formatCode>0.00</c:formatCode>
                <c:ptCount val="7"/>
                <c:pt idx="0">
                  <c:v>29.38</c:v>
                </c:pt>
                <c:pt idx="1">
                  <c:v>20.3</c:v>
                </c:pt>
                <c:pt idx="2">
                  <c:v>17.72</c:v>
                </c:pt>
                <c:pt idx="3">
                  <c:v>7.93</c:v>
                </c:pt>
                <c:pt idx="4">
                  <c:v>9.67</c:v>
                </c:pt>
                <c:pt idx="5">
                  <c:v>9.1100000000000101</c:v>
                </c:pt>
                <c:pt idx="6">
                  <c:v>5.89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8F5-4F0E-8CCB-EBD072647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748895"/>
        <c:axId val="430769695"/>
      </c:radarChart>
      <c:catAx>
        <c:axId val="43074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69695"/>
        <c:crosses val="autoZero"/>
        <c:auto val="1"/>
        <c:lblAlgn val="ctr"/>
        <c:lblOffset val="100"/>
        <c:noMultiLvlLbl val="0"/>
      </c:catAx>
      <c:valAx>
        <c:axId val="4307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4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Ульяновка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Лист4!$BG$18:$BG$24</c:f>
              <c:numCache>
                <c:formatCode>0.00</c:formatCode>
                <c:ptCount val="7"/>
                <c:pt idx="0">
                  <c:v>23.599999999999998</c:v>
                </c:pt>
                <c:pt idx="1">
                  <c:v>19.600000000000001</c:v>
                </c:pt>
                <c:pt idx="2">
                  <c:v>2.4</c:v>
                </c:pt>
                <c:pt idx="3">
                  <c:v>2.8000000000000003</c:v>
                </c:pt>
                <c:pt idx="4">
                  <c:v>2.7</c:v>
                </c:pt>
                <c:pt idx="5">
                  <c:v>39.500000000000007</c:v>
                </c:pt>
                <c:pt idx="6">
                  <c:v>9.4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  <c:strCache>
                      <c:ptCount val="7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Транспорт. Инж</c:v>
                      </c:pt>
                      <c:pt idx="3">
                        <c:v>Общ - деловая</c:v>
                      </c:pt>
                      <c:pt idx="4">
                        <c:v>Производственная</c:v>
                      </c:pt>
                      <c:pt idx="5">
                        <c:v>Прочие</c:v>
                      </c:pt>
                      <c:pt idx="6">
                        <c:v>Сельское хозяйство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5ED-4ACD-9E9B-C1E3C93B129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Лист4!$BH$18:$BH$24</c:f>
              <c:numCache>
                <c:formatCode>0.00</c:formatCode>
                <c:ptCount val="7"/>
                <c:pt idx="0">
                  <c:v>17</c:v>
                </c:pt>
                <c:pt idx="1">
                  <c:v>21</c:v>
                </c:pt>
                <c:pt idx="2">
                  <c:v>2.2999999999999998</c:v>
                </c:pt>
                <c:pt idx="3">
                  <c:v>3.2</c:v>
                </c:pt>
                <c:pt idx="4">
                  <c:v>6.3</c:v>
                </c:pt>
                <c:pt idx="5">
                  <c:v>46.7</c:v>
                </c:pt>
                <c:pt idx="6">
                  <c:v>3.5000000000000004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  <c:strCache>
                      <c:ptCount val="7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Транспорт. Инж</c:v>
                      </c:pt>
                      <c:pt idx="3">
                        <c:v>Общ - деловая</c:v>
                      </c:pt>
                      <c:pt idx="4">
                        <c:v>Производственная</c:v>
                      </c:pt>
                      <c:pt idx="5">
                        <c:v>Прочие</c:v>
                      </c:pt>
                      <c:pt idx="6">
                        <c:v>Сельское хозяйство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5ED-4ACD-9E9B-C1E3C93B129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Лист4!$BI$18:$BI$24</c:f>
              <c:numCache>
                <c:formatCode>0.00</c:formatCode>
                <c:ptCount val="7"/>
                <c:pt idx="0">
                  <c:v>7.7</c:v>
                </c:pt>
                <c:pt idx="1">
                  <c:v>29.799999999999997</c:v>
                </c:pt>
                <c:pt idx="2">
                  <c:v>2.2999999999999998</c:v>
                </c:pt>
                <c:pt idx="3">
                  <c:v>3.4000000000000004</c:v>
                </c:pt>
                <c:pt idx="4">
                  <c:v>6.4</c:v>
                </c:pt>
                <c:pt idx="5">
                  <c:v>46.900000000000006</c:v>
                </c:pt>
                <c:pt idx="6">
                  <c:v>3.5000000000000004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  <c:strCache>
                      <c:ptCount val="7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Транспорт. Инж</c:v>
                      </c:pt>
                      <c:pt idx="3">
                        <c:v>Общ - деловая</c:v>
                      </c:pt>
                      <c:pt idx="4">
                        <c:v>Производственная</c:v>
                      </c:pt>
                      <c:pt idx="5">
                        <c:v>Прочие</c:v>
                      </c:pt>
                      <c:pt idx="6">
                        <c:v>Сельское хозяйство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5ED-4ACD-9E9B-C1E3C93B1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099295"/>
        <c:axId val="469107615"/>
      </c:radarChart>
      <c:catAx>
        <c:axId val="46909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107615"/>
        <c:crosses val="autoZero"/>
        <c:auto val="1"/>
        <c:lblAlgn val="ctr"/>
        <c:lblOffset val="100"/>
        <c:noMultiLvlLbl val="0"/>
      </c:catAx>
      <c:valAx>
        <c:axId val="46910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09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Юкковское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4"/>
          <c:order val="0"/>
          <c:marker>
            <c:symbol val="none"/>
          </c:marker>
          <c:val>
            <c:numRef>
              <c:f>Лист4!$P$18:$P$24</c:f>
              <c:numCache>
                <c:formatCode>0.00</c:formatCode>
                <c:ptCount val="7"/>
                <c:pt idx="0">
                  <c:v>27.4</c:v>
                </c:pt>
                <c:pt idx="1">
                  <c:v>26.1</c:v>
                </c:pt>
                <c:pt idx="2">
                  <c:v>9.5</c:v>
                </c:pt>
                <c:pt idx="3">
                  <c:v>0.6</c:v>
                </c:pt>
                <c:pt idx="4">
                  <c:v>0</c:v>
                </c:pt>
                <c:pt idx="5">
                  <c:v>36.4</c:v>
                </c:pt>
                <c:pt idx="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8843-4B27-92FF-3F63B85EA99F}"/>
            </c:ext>
          </c:extLst>
        </c:ser>
        <c:ser>
          <c:idx val="5"/>
          <c:order val="1"/>
          <c:marker>
            <c:symbol val="none"/>
          </c:marker>
          <c:val>
            <c:numRef>
              <c:f>Лист4!$Q$18:$Q$24</c:f>
              <c:numCache>
                <c:formatCode>0.00</c:formatCode>
                <c:ptCount val="7"/>
                <c:pt idx="0">
                  <c:v>55.9</c:v>
                </c:pt>
                <c:pt idx="1">
                  <c:v>26.1</c:v>
                </c:pt>
                <c:pt idx="2">
                  <c:v>9.5</c:v>
                </c:pt>
                <c:pt idx="3">
                  <c:v>8.1</c:v>
                </c:pt>
                <c:pt idx="4">
                  <c:v>0</c:v>
                </c:pt>
                <c:pt idx="5">
                  <c:v>0.4</c:v>
                </c:pt>
                <c:pt idx="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8843-4B27-92FF-3F63B85EA99F}"/>
            </c:ext>
          </c:extLst>
        </c:ser>
        <c:ser>
          <c:idx val="6"/>
          <c:order val="2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Лист4!$P$18:$P$24</c:f>
              <c:numCache>
                <c:formatCode>0.00</c:formatCode>
                <c:ptCount val="7"/>
                <c:pt idx="0">
                  <c:v>27.4</c:v>
                </c:pt>
                <c:pt idx="1">
                  <c:v>26.1</c:v>
                </c:pt>
                <c:pt idx="2">
                  <c:v>9.5</c:v>
                </c:pt>
                <c:pt idx="3">
                  <c:v>0.6</c:v>
                </c:pt>
                <c:pt idx="4">
                  <c:v>0</c:v>
                </c:pt>
                <c:pt idx="5">
                  <c:v>36.4</c:v>
                </c:pt>
                <c:pt idx="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8843-4B27-92FF-3F63B85EA99F}"/>
            </c:ext>
          </c:extLst>
        </c:ser>
        <c:ser>
          <c:idx val="7"/>
          <c:order val="3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Лист4!$Q$18:$Q$24</c:f>
              <c:numCache>
                <c:formatCode>0.00</c:formatCode>
                <c:ptCount val="7"/>
                <c:pt idx="0">
                  <c:v>55.9</c:v>
                </c:pt>
                <c:pt idx="1">
                  <c:v>26.1</c:v>
                </c:pt>
                <c:pt idx="2">
                  <c:v>9.5</c:v>
                </c:pt>
                <c:pt idx="3">
                  <c:v>8.1</c:v>
                </c:pt>
                <c:pt idx="4">
                  <c:v>0</c:v>
                </c:pt>
                <c:pt idx="5">
                  <c:v>0.4</c:v>
                </c:pt>
                <c:pt idx="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8843-4B27-92FF-3F63B85EA99F}"/>
            </c:ext>
          </c:extLst>
        </c:ser>
        <c:ser>
          <c:idx val="2"/>
          <c:order val="4"/>
          <c:marker>
            <c:symbol val="none"/>
          </c:marker>
          <c:val>
            <c:numRef>
              <c:f>Лист4!$P$18:$P$24</c:f>
              <c:numCache>
                <c:formatCode>0.00</c:formatCode>
                <c:ptCount val="7"/>
                <c:pt idx="0">
                  <c:v>27.4</c:v>
                </c:pt>
                <c:pt idx="1">
                  <c:v>26.1</c:v>
                </c:pt>
                <c:pt idx="2">
                  <c:v>9.5</c:v>
                </c:pt>
                <c:pt idx="3">
                  <c:v>0.6</c:v>
                </c:pt>
                <c:pt idx="4">
                  <c:v>0</c:v>
                </c:pt>
                <c:pt idx="5">
                  <c:v>36.4</c:v>
                </c:pt>
                <c:pt idx="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843-4B27-92FF-3F63B85EA99F}"/>
            </c:ext>
          </c:extLst>
        </c:ser>
        <c:ser>
          <c:idx val="3"/>
          <c:order val="5"/>
          <c:marker>
            <c:symbol val="none"/>
          </c:marker>
          <c:val>
            <c:numRef>
              <c:f>Лист4!$Q$18:$Q$24</c:f>
              <c:numCache>
                <c:formatCode>0.00</c:formatCode>
                <c:ptCount val="7"/>
                <c:pt idx="0">
                  <c:v>55.9</c:v>
                </c:pt>
                <c:pt idx="1">
                  <c:v>26.1</c:v>
                </c:pt>
                <c:pt idx="2">
                  <c:v>9.5</c:v>
                </c:pt>
                <c:pt idx="3">
                  <c:v>8.1</c:v>
                </c:pt>
                <c:pt idx="4">
                  <c:v>0</c:v>
                </c:pt>
                <c:pt idx="5">
                  <c:v>0.4</c:v>
                </c:pt>
                <c:pt idx="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8843-4B27-92FF-3F63B85EA99F}"/>
            </c:ext>
          </c:extLst>
        </c:ser>
        <c:ser>
          <c:idx val="0"/>
          <c:order val="6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Лист4!$P$18:$P$24</c:f>
              <c:numCache>
                <c:formatCode>0.00</c:formatCode>
                <c:ptCount val="7"/>
                <c:pt idx="0">
                  <c:v>27.4</c:v>
                </c:pt>
                <c:pt idx="1">
                  <c:v>26.1</c:v>
                </c:pt>
                <c:pt idx="2">
                  <c:v>9.5</c:v>
                </c:pt>
                <c:pt idx="3">
                  <c:v>0.6</c:v>
                </c:pt>
                <c:pt idx="4">
                  <c:v>0</c:v>
                </c:pt>
                <c:pt idx="5">
                  <c:v>36.4</c:v>
                </c:pt>
                <c:pt idx="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8843-4B27-92FF-3F63B85EA99F}"/>
            </c:ext>
          </c:extLst>
        </c:ser>
        <c:ser>
          <c:idx val="1"/>
          <c:order val="7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Лист4!$Q$18:$Q$24</c:f>
              <c:numCache>
                <c:formatCode>0.00</c:formatCode>
                <c:ptCount val="7"/>
                <c:pt idx="0">
                  <c:v>55.9</c:v>
                </c:pt>
                <c:pt idx="1">
                  <c:v>26.1</c:v>
                </c:pt>
                <c:pt idx="2">
                  <c:v>9.5</c:v>
                </c:pt>
                <c:pt idx="3">
                  <c:v>8.1</c:v>
                </c:pt>
                <c:pt idx="4">
                  <c:v>0</c:v>
                </c:pt>
                <c:pt idx="5">
                  <c:v>0.4</c:v>
                </c:pt>
                <c:pt idx="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8843-4B27-92FF-3F63B85EA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748895"/>
        <c:axId val="430769695"/>
      </c:radarChart>
      <c:catAx>
        <c:axId val="43074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69695"/>
        <c:crosses val="autoZero"/>
        <c:auto val="1"/>
        <c:lblAlgn val="ctr"/>
        <c:lblOffset val="100"/>
        <c:noMultiLvlLbl val="0"/>
      </c:catAx>
      <c:valAx>
        <c:axId val="4307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48895"/>
        <c:crosses val="autoZero"/>
        <c:crossBetween val="between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Аннинское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Лист4!$CY$18:$CY$24</c:f>
              <c:numCache>
                <c:formatCode>0.00</c:formatCode>
                <c:ptCount val="7"/>
                <c:pt idx="0">
                  <c:v>12.21</c:v>
                </c:pt>
                <c:pt idx="1">
                  <c:v>5.04</c:v>
                </c:pt>
                <c:pt idx="2">
                  <c:v>0.6</c:v>
                </c:pt>
                <c:pt idx="3">
                  <c:v>0.22</c:v>
                </c:pt>
                <c:pt idx="4">
                  <c:v>4.8600000000000003</c:v>
                </c:pt>
                <c:pt idx="5">
                  <c:v>24.739999999999995</c:v>
                </c:pt>
                <c:pt idx="6">
                  <c:v>52.33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2A5-44C1-9666-4DB209E3E64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Лист4!$CZ$18:$CZ$24</c:f>
              <c:numCache>
                <c:formatCode>0.00</c:formatCode>
                <c:ptCount val="7"/>
                <c:pt idx="0">
                  <c:v>13.24</c:v>
                </c:pt>
                <c:pt idx="1">
                  <c:v>20.25</c:v>
                </c:pt>
                <c:pt idx="2">
                  <c:v>2.4700000000000002</c:v>
                </c:pt>
                <c:pt idx="3">
                  <c:v>3.38</c:v>
                </c:pt>
                <c:pt idx="4">
                  <c:v>7.21</c:v>
                </c:pt>
                <c:pt idx="5">
                  <c:v>1.0500000000000052</c:v>
                </c:pt>
                <c:pt idx="6">
                  <c:v>52.4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2A5-44C1-9666-4DB209E3E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748895"/>
        <c:axId val="430769695"/>
      </c:radarChart>
      <c:catAx>
        <c:axId val="43074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69695"/>
        <c:crosses val="autoZero"/>
        <c:auto val="1"/>
        <c:lblAlgn val="ctr"/>
        <c:lblOffset val="100"/>
        <c:noMultiLvlLbl val="0"/>
      </c:catAx>
      <c:valAx>
        <c:axId val="4307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4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Бугровское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Лист4!$F$18:$F$24</c:f>
              <c:numCache>
                <c:formatCode>0.00</c:formatCode>
                <c:ptCount val="7"/>
                <c:pt idx="0">
                  <c:v>0.8</c:v>
                </c:pt>
                <c:pt idx="1">
                  <c:v>7.1</c:v>
                </c:pt>
                <c:pt idx="2">
                  <c:v>4.5</c:v>
                </c:pt>
                <c:pt idx="3">
                  <c:v>5.3</c:v>
                </c:pt>
                <c:pt idx="4">
                  <c:v>0.2</c:v>
                </c:pt>
                <c:pt idx="5">
                  <c:v>34.300000000000011</c:v>
                </c:pt>
                <c:pt idx="6">
                  <c:v>47.8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388-477C-AD8B-6E04014079A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Лист4!$G$18:$G$24</c:f>
              <c:numCache>
                <c:formatCode>0.00</c:formatCode>
                <c:ptCount val="7"/>
                <c:pt idx="0">
                  <c:v>1</c:v>
                </c:pt>
                <c:pt idx="1">
                  <c:v>13.5</c:v>
                </c:pt>
                <c:pt idx="2">
                  <c:v>5.2</c:v>
                </c:pt>
                <c:pt idx="3">
                  <c:v>7.5</c:v>
                </c:pt>
                <c:pt idx="4">
                  <c:v>0.3</c:v>
                </c:pt>
                <c:pt idx="5">
                  <c:v>37.299999999999997</c:v>
                </c:pt>
                <c:pt idx="6">
                  <c:v>35.200000000000003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388-477C-AD8B-6E04014079A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Лист4!$H$18:$H$24</c:f>
              <c:numCache>
                <c:formatCode>0.00</c:formatCode>
                <c:ptCount val="7"/>
                <c:pt idx="0">
                  <c:v>4.5</c:v>
                </c:pt>
                <c:pt idx="1">
                  <c:v>15.7</c:v>
                </c:pt>
                <c:pt idx="2">
                  <c:v>13.1</c:v>
                </c:pt>
                <c:pt idx="3">
                  <c:v>11.1</c:v>
                </c:pt>
                <c:pt idx="4">
                  <c:v>0.6</c:v>
                </c:pt>
                <c:pt idx="5">
                  <c:v>23.7</c:v>
                </c:pt>
                <c:pt idx="6">
                  <c:v>31.3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388-477C-AD8B-6E0401407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099295"/>
        <c:axId val="469107615"/>
      </c:radarChart>
      <c:catAx>
        <c:axId val="46909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107615"/>
        <c:crosses val="autoZero"/>
        <c:auto val="1"/>
        <c:lblAlgn val="ctr"/>
        <c:lblOffset val="100"/>
        <c:noMultiLvlLbl val="0"/>
      </c:catAx>
      <c:valAx>
        <c:axId val="46910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09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Гатчина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val>
            <c:numRef>
              <c:f>Лист4!$EM$18:$EM$24</c:f>
              <c:numCache>
                <c:formatCode>0.00</c:formatCode>
                <c:ptCount val="7"/>
                <c:pt idx="0">
                  <c:v>23.97</c:v>
                </c:pt>
                <c:pt idx="1">
                  <c:v>23.78</c:v>
                </c:pt>
                <c:pt idx="2">
                  <c:v>13.309999999999999</c:v>
                </c:pt>
                <c:pt idx="3">
                  <c:v>3.9699999999999998</c:v>
                </c:pt>
                <c:pt idx="4">
                  <c:v>7.4899999999999993</c:v>
                </c:pt>
                <c:pt idx="5">
                  <c:v>25.41</c:v>
                </c:pt>
                <c:pt idx="6">
                  <c:v>2.0699999999999998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C8A-4F51-94B4-87EC12ABACA1}"/>
            </c:ext>
          </c:extLst>
        </c:ser>
        <c:ser>
          <c:idx val="1"/>
          <c:order val="1"/>
          <c:marker>
            <c:symbol val="none"/>
          </c:marker>
          <c:val>
            <c:numRef>
              <c:f>Лист4!$EN$18:$EN$24</c:f>
              <c:numCache>
                <c:formatCode>0.00</c:formatCode>
                <c:ptCount val="7"/>
                <c:pt idx="0">
                  <c:v>25.77</c:v>
                </c:pt>
                <c:pt idx="1">
                  <c:v>24.01</c:v>
                </c:pt>
                <c:pt idx="2">
                  <c:v>13.370000000000001</c:v>
                </c:pt>
                <c:pt idx="3">
                  <c:v>6.98</c:v>
                </c:pt>
                <c:pt idx="4">
                  <c:v>8.57</c:v>
                </c:pt>
                <c:pt idx="5">
                  <c:v>21.299999999999994</c:v>
                </c:pt>
                <c:pt idx="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C8A-4F51-94B4-87EC12ABA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748895"/>
        <c:axId val="430769695"/>
      </c:radarChart>
      <c:catAx>
        <c:axId val="43074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69695"/>
        <c:crosses val="autoZero"/>
        <c:auto val="1"/>
        <c:lblAlgn val="ctr"/>
        <c:lblOffset val="100"/>
        <c:noMultiLvlLbl val="0"/>
      </c:catAx>
      <c:valAx>
        <c:axId val="4307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48895"/>
        <c:crosses val="autoZero"/>
        <c:crossBetween val="between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Фёдоровское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3"/>
          <c:order val="0"/>
          <c:marker>
            <c:symbol val="none"/>
          </c:marker>
          <c:val>
            <c:numRef>
              <c:f>Лист4!$BJ$18:$BJ$24</c:f>
              <c:numCache>
                <c:formatCode>0.00</c:formatCode>
                <c:ptCount val="7"/>
                <c:pt idx="0">
                  <c:v>0</c:v>
                </c:pt>
                <c:pt idx="1">
                  <c:v>2.7096056699087687</c:v>
                </c:pt>
                <c:pt idx="2">
                  <c:v>0.64088064540450884</c:v>
                </c:pt>
                <c:pt idx="3">
                  <c:v>7.1627836839327455E-2</c:v>
                </c:pt>
                <c:pt idx="4">
                  <c:v>2.1631606725476891</c:v>
                </c:pt>
                <c:pt idx="5">
                  <c:v>88.87902435346453</c:v>
                </c:pt>
                <c:pt idx="6">
                  <c:v>5.5357008218351806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  <c:strCache>
                      <c:ptCount val="7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Транспорт. Инж</c:v>
                      </c:pt>
                      <c:pt idx="3">
                        <c:v>Общ - деловая</c:v>
                      </c:pt>
                      <c:pt idx="4">
                        <c:v>Производственная</c:v>
                      </c:pt>
                      <c:pt idx="5">
                        <c:v>Прочие</c:v>
                      </c:pt>
                      <c:pt idx="6">
                        <c:v>Сельское хозяйство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603-4334-AE53-3F5A53EB7C82}"/>
            </c:ext>
          </c:extLst>
        </c:ser>
        <c:ser>
          <c:idx val="4"/>
          <c:order val="1"/>
          <c:marker>
            <c:symbol val="none"/>
          </c:marker>
          <c:val>
            <c:numRef>
              <c:f>Лист4!$BK$18:$BK$24</c:f>
              <c:numCache>
                <c:formatCode>0.00</c:formatCode>
                <c:ptCount val="7"/>
                <c:pt idx="0">
                  <c:v>1.051798235693282</c:v>
                </c:pt>
                <c:pt idx="1">
                  <c:v>12.072117922038755</c:v>
                </c:pt>
                <c:pt idx="2">
                  <c:v>0.72004825454271293</c:v>
                </c:pt>
                <c:pt idx="3">
                  <c:v>1.7152981979944206</c:v>
                </c:pt>
                <c:pt idx="4">
                  <c:v>6.8084143858855457</c:v>
                </c:pt>
                <c:pt idx="5">
                  <c:v>72.915629947975575</c:v>
                </c:pt>
                <c:pt idx="6">
                  <c:v>4.7166930558697127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  <c:strCache>
                      <c:ptCount val="7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Транспорт. Инж</c:v>
                      </c:pt>
                      <c:pt idx="3">
                        <c:v>Общ - деловая</c:v>
                      </c:pt>
                      <c:pt idx="4">
                        <c:v>Производственная</c:v>
                      </c:pt>
                      <c:pt idx="5">
                        <c:v>Прочие</c:v>
                      </c:pt>
                      <c:pt idx="6">
                        <c:v>Сельское хозяйство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603-4334-AE53-3F5A53EB7C82}"/>
            </c:ext>
          </c:extLst>
        </c:ser>
        <c:ser>
          <c:idx val="5"/>
          <c:order val="2"/>
          <c:marker>
            <c:symbol val="none"/>
          </c:marker>
          <c:val>
            <c:numRef>
              <c:f>Лист4!$BL$18:$BL$24</c:f>
              <c:numCache>
                <c:formatCode>0.00</c:formatCode>
                <c:ptCount val="7"/>
                <c:pt idx="0">
                  <c:v>2.1997285681972403</c:v>
                </c:pt>
                <c:pt idx="1">
                  <c:v>20.318743873935009</c:v>
                </c:pt>
                <c:pt idx="2">
                  <c:v>0.72004825454271293</c:v>
                </c:pt>
                <c:pt idx="3">
                  <c:v>2.559752695468597</c:v>
                </c:pt>
                <c:pt idx="4">
                  <c:v>15.814672396893615</c:v>
                </c:pt>
                <c:pt idx="5">
                  <c:v>53.670361155093104</c:v>
                </c:pt>
                <c:pt idx="6">
                  <c:v>4.7166930558697127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  <c:strCache>
                      <c:ptCount val="7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Транспорт. Инж</c:v>
                      </c:pt>
                      <c:pt idx="3">
                        <c:v>Общ - деловая</c:v>
                      </c:pt>
                      <c:pt idx="4">
                        <c:v>Производственная</c:v>
                      </c:pt>
                      <c:pt idx="5">
                        <c:v>Прочие</c:v>
                      </c:pt>
                      <c:pt idx="6">
                        <c:v>Сельское хозяйство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603-4334-AE53-3F5A53EB7C82}"/>
            </c:ext>
          </c:extLst>
        </c:ser>
        <c:ser>
          <c:idx val="0"/>
          <c:order val="3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Лист4!$BJ$18:$BJ$24</c:f>
              <c:numCache>
                <c:formatCode>0.00</c:formatCode>
                <c:ptCount val="7"/>
                <c:pt idx="0">
                  <c:v>0</c:v>
                </c:pt>
                <c:pt idx="1">
                  <c:v>2.7096056699087687</c:v>
                </c:pt>
                <c:pt idx="2">
                  <c:v>0.64088064540450884</c:v>
                </c:pt>
                <c:pt idx="3">
                  <c:v>7.1627836839327455E-2</c:v>
                </c:pt>
                <c:pt idx="4">
                  <c:v>2.1631606725476891</c:v>
                </c:pt>
                <c:pt idx="5">
                  <c:v>88.87902435346453</c:v>
                </c:pt>
                <c:pt idx="6">
                  <c:v>5.5357008218351806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  <c:strCache>
                      <c:ptCount val="7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Транспорт. Инж</c:v>
                      </c:pt>
                      <c:pt idx="3">
                        <c:v>Общ - деловая</c:v>
                      </c:pt>
                      <c:pt idx="4">
                        <c:v>Производственная</c:v>
                      </c:pt>
                      <c:pt idx="5">
                        <c:v>Прочие</c:v>
                      </c:pt>
                      <c:pt idx="6">
                        <c:v>Сельское хозяйство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603-4334-AE53-3F5A53EB7C82}"/>
            </c:ext>
          </c:extLst>
        </c:ser>
        <c:ser>
          <c:idx val="1"/>
          <c:order val="4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Лист4!$BK$18:$BK$24</c:f>
              <c:numCache>
                <c:formatCode>0.00</c:formatCode>
                <c:ptCount val="7"/>
                <c:pt idx="0">
                  <c:v>1.051798235693282</c:v>
                </c:pt>
                <c:pt idx="1">
                  <c:v>12.072117922038755</c:v>
                </c:pt>
                <c:pt idx="2">
                  <c:v>0.72004825454271293</c:v>
                </c:pt>
                <c:pt idx="3">
                  <c:v>1.7152981979944206</c:v>
                </c:pt>
                <c:pt idx="4">
                  <c:v>6.8084143858855457</c:v>
                </c:pt>
                <c:pt idx="5">
                  <c:v>72.915629947975575</c:v>
                </c:pt>
                <c:pt idx="6">
                  <c:v>4.7166930558697127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  <c:strCache>
                      <c:ptCount val="7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Транспорт. Инж</c:v>
                      </c:pt>
                      <c:pt idx="3">
                        <c:v>Общ - деловая</c:v>
                      </c:pt>
                      <c:pt idx="4">
                        <c:v>Производственная</c:v>
                      </c:pt>
                      <c:pt idx="5">
                        <c:v>Прочие</c:v>
                      </c:pt>
                      <c:pt idx="6">
                        <c:v>Сельское хозяйство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603-4334-AE53-3F5A53EB7C82}"/>
            </c:ext>
          </c:extLst>
        </c:ser>
        <c:ser>
          <c:idx val="2"/>
          <c:order val="5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Лист4!$BM$18:$BM$24</c:f>
              <c:numCache>
                <c:formatCode>0.00</c:formatCode>
                <c:ptCount val="7"/>
                <c:pt idx="0">
                  <c:v>2.1997285681972403</c:v>
                </c:pt>
                <c:pt idx="1">
                  <c:v>21.738106009198525</c:v>
                </c:pt>
                <c:pt idx="2">
                  <c:v>0.72004825454271293</c:v>
                </c:pt>
                <c:pt idx="3">
                  <c:v>2.6257257030837673</c:v>
                </c:pt>
                <c:pt idx="4">
                  <c:v>19.203800045238633</c:v>
                </c:pt>
                <c:pt idx="5">
                  <c:v>49.389655432405931</c:v>
                </c:pt>
                <c:pt idx="6">
                  <c:v>4.1229359873331823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  <c:strCache>
                      <c:ptCount val="7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Транспорт. Инж</c:v>
                      </c:pt>
                      <c:pt idx="3">
                        <c:v>Общ - деловая</c:v>
                      </c:pt>
                      <c:pt idx="4">
                        <c:v>Производственная</c:v>
                      </c:pt>
                      <c:pt idx="5">
                        <c:v>Прочие</c:v>
                      </c:pt>
                      <c:pt idx="6">
                        <c:v>Сельское хозяйство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603-4334-AE53-3F5A53EB7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099295"/>
        <c:axId val="469107615"/>
      </c:radarChart>
      <c:catAx>
        <c:axId val="46909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107615"/>
        <c:crosses val="autoZero"/>
        <c:auto val="1"/>
        <c:lblAlgn val="ctr"/>
        <c:lblOffset val="100"/>
        <c:noMultiLvlLbl val="0"/>
      </c:catAx>
      <c:valAx>
        <c:axId val="46910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099295"/>
        <c:crosses val="autoZero"/>
        <c:crossBetween val="between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Красноборское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Лист4!$BN$18:$BN$24</c:f>
              <c:numCache>
                <c:formatCode>0.00</c:formatCode>
                <c:ptCount val="7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  <c:strCache>
                      <c:ptCount val="7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Транспорт. Инж</c:v>
                      </c:pt>
                      <c:pt idx="3">
                        <c:v>Общ - деловая</c:v>
                      </c:pt>
                      <c:pt idx="4">
                        <c:v>Производственная</c:v>
                      </c:pt>
                      <c:pt idx="5">
                        <c:v>Прочие</c:v>
                      </c:pt>
                      <c:pt idx="6">
                        <c:v>Сельское хозяйство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379-4139-B73F-F03B98812F5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Лист4!$BO$18:$BO$24</c:f>
              <c:numCache>
                <c:formatCode>0.00</c:formatCode>
                <c:ptCount val="7"/>
                <c:pt idx="0">
                  <c:v>0.59347541142773919</c:v>
                </c:pt>
                <c:pt idx="1">
                  <c:v>4.1506869265498327</c:v>
                </c:pt>
                <c:pt idx="2">
                  <c:v>1.7306665372105439</c:v>
                </c:pt>
                <c:pt idx="3">
                  <c:v>0.63109859701927273</c:v>
                </c:pt>
                <c:pt idx="4">
                  <c:v>11.200786445943978</c:v>
                </c:pt>
                <c:pt idx="5">
                  <c:v>64.793193844361383</c:v>
                </c:pt>
                <c:pt idx="6">
                  <c:v>16.900092237487254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  <c:strCache>
                      <c:ptCount val="7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Транспорт. Инж</c:v>
                      </c:pt>
                      <c:pt idx="3">
                        <c:v>Общ - деловая</c:v>
                      </c:pt>
                      <c:pt idx="4">
                        <c:v>Производственная</c:v>
                      </c:pt>
                      <c:pt idx="5">
                        <c:v>Прочие</c:v>
                      </c:pt>
                      <c:pt idx="6">
                        <c:v>Сельское хозяйство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379-4139-B73F-F03B98812F5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Лист4!$BP$18:$BP$24</c:f>
              <c:numCache>
                <c:formatCode>0.00</c:formatCode>
                <c:ptCount val="7"/>
                <c:pt idx="0">
                  <c:v>3.9273751152968592</c:v>
                </c:pt>
                <c:pt idx="1">
                  <c:v>4.9553376377494054</c:v>
                </c:pt>
                <c:pt idx="2">
                  <c:v>2.2039904849749985</c:v>
                </c:pt>
                <c:pt idx="3">
                  <c:v>0.69542210786931402</c:v>
                </c:pt>
                <c:pt idx="4">
                  <c:v>16.247147919801932</c:v>
                </c:pt>
                <c:pt idx="5">
                  <c:v>58.606000291276274</c:v>
                </c:pt>
                <c:pt idx="6">
                  <c:v>13.364726443031216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  <c:strCache>
                      <c:ptCount val="7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Транспорт. Инж</c:v>
                      </c:pt>
                      <c:pt idx="3">
                        <c:v>Общ - деловая</c:v>
                      </c:pt>
                      <c:pt idx="4">
                        <c:v>Производственная</c:v>
                      </c:pt>
                      <c:pt idx="5">
                        <c:v>Прочие</c:v>
                      </c:pt>
                      <c:pt idx="6">
                        <c:v>Сельское хозяйство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379-4139-B73F-F03B98812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099295"/>
        <c:axId val="469107615"/>
      </c:radarChart>
      <c:catAx>
        <c:axId val="46909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107615"/>
        <c:crosses val="autoZero"/>
        <c:auto val="1"/>
        <c:lblAlgn val="ctr"/>
        <c:lblOffset val="100"/>
        <c:noMultiLvlLbl val="0"/>
      </c:catAx>
      <c:valAx>
        <c:axId val="46910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09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Тельмана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Лист4!$BQ$18:$BQ$24</c:f>
              <c:numCache>
                <c:formatCode>0.00</c:formatCode>
                <c:ptCount val="7"/>
                <c:pt idx="0">
                  <c:v>9.6868233135309723</c:v>
                </c:pt>
                <c:pt idx="1">
                  <c:v>41.781868322672551</c:v>
                </c:pt>
                <c:pt idx="2">
                  <c:v>2.4385906206405457</c:v>
                </c:pt>
                <c:pt idx="3">
                  <c:v>12.602963436853598</c:v>
                </c:pt>
                <c:pt idx="4">
                  <c:v>2.4584292640003764</c:v>
                </c:pt>
                <c:pt idx="5">
                  <c:v>13.005793234987511</c:v>
                </c:pt>
                <c:pt idx="6">
                  <c:v>18.025531807314451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  <c:strCache>
                      <c:ptCount val="7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Транспорт. Инж</c:v>
                      </c:pt>
                      <c:pt idx="3">
                        <c:v>Общ - деловая</c:v>
                      </c:pt>
                      <c:pt idx="4">
                        <c:v>Производственная</c:v>
                      </c:pt>
                      <c:pt idx="5">
                        <c:v>Прочие</c:v>
                      </c:pt>
                      <c:pt idx="6">
                        <c:v>Сельское хозяйство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DF2-4DF1-A6FD-85F36B393E7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Лист4!$BR$18:$BR$24</c:f>
              <c:numCache>
                <c:formatCode>0.00</c:formatCode>
                <c:ptCount val="7"/>
                <c:pt idx="0">
                  <c:v>9.8768265709680367</c:v>
                </c:pt>
                <c:pt idx="1">
                  <c:v>49.939509367500051</c:v>
                </c:pt>
                <c:pt idx="2">
                  <c:v>2.681472503739895</c:v>
                </c:pt>
                <c:pt idx="3">
                  <c:v>11.709005259496202</c:v>
                </c:pt>
                <c:pt idx="4">
                  <c:v>1.8807263919817234</c:v>
                </c:pt>
                <c:pt idx="5">
                  <c:v>13.718909281995964</c:v>
                </c:pt>
                <c:pt idx="6">
                  <c:v>10.193550624318132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  <c:strCache>
                      <c:ptCount val="7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Транспорт. Инж</c:v>
                      </c:pt>
                      <c:pt idx="3">
                        <c:v>Общ - деловая</c:v>
                      </c:pt>
                      <c:pt idx="4">
                        <c:v>Производственная</c:v>
                      </c:pt>
                      <c:pt idx="5">
                        <c:v>Прочие</c:v>
                      </c:pt>
                      <c:pt idx="6">
                        <c:v>Сельское хозяйство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0DF2-4DF1-A6FD-85F36B393E7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Лист4!$BS$18:$BS$24</c:f>
              <c:numCache>
                <c:formatCode>0.00</c:formatCode>
                <c:ptCount val="7"/>
                <c:pt idx="0">
                  <c:v>9.8768265709680367</c:v>
                </c:pt>
                <c:pt idx="1">
                  <c:v>49.939509367500051</c:v>
                </c:pt>
                <c:pt idx="2">
                  <c:v>2.681472503739895</c:v>
                </c:pt>
                <c:pt idx="3">
                  <c:v>11.709005259496202</c:v>
                </c:pt>
                <c:pt idx="4">
                  <c:v>1.8807263919817234</c:v>
                </c:pt>
                <c:pt idx="5">
                  <c:v>13.718909281995964</c:v>
                </c:pt>
                <c:pt idx="6">
                  <c:v>10.193550624318132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  <c:strCache>
                      <c:ptCount val="7"/>
                      <c:pt idx="0">
                        <c:v>Рекреационная</c:v>
                      </c:pt>
                      <c:pt idx="1">
                        <c:v>Жилая</c:v>
                      </c:pt>
                      <c:pt idx="2">
                        <c:v>Транспорт. Инж</c:v>
                      </c:pt>
                      <c:pt idx="3">
                        <c:v>Общ - деловая</c:v>
                      </c:pt>
                      <c:pt idx="4">
                        <c:v>Производственная</c:v>
                      </c:pt>
                      <c:pt idx="5">
                        <c:v>Прочие</c:v>
                      </c:pt>
                      <c:pt idx="6">
                        <c:v>Сельское хозяйство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0DF2-4DF1-A6FD-85F36B393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099295"/>
        <c:axId val="469107615"/>
      </c:radarChart>
      <c:catAx>
        <c:axId val="46909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107615"/>
        <c:crosses val="autoZero"/>
        <c:auto val="1"/>
        <c:lblAlgn val="ctr"/>
        <c:lblOffset val="100"/>
        <c:noMultiLvlLbl val="0"/>
      </c:catAx>
      <c:valAx>
        <c:axId val="46910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09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Тайцы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Лист4!$EO$18:$EO$24</c:f>
              <c:numCache>
                <c:formatCode>0.00</c:formatCode>
                <c:ptCount val="7"/>
                <c:pt idx="0">
                  <c:v>1.4525620783694559</c:v>
                </c:pt>
                <c:pt idx="1">
                  <c:v>44.218458446964256</c:v>
                </c:pt>
                <c:pt idx="2">
                  <c:v>22.831921917611595</c:v>
                </c:pt>
                <c:pt idx="3">
                  <c:v>1.8759867948901967</c:v>
                </c:pt>
                <c:pt idx="4">
                  <c:v>5.9954069183292669</c:v>
                </c:pt>
                <c:pt idx="5">
                  <c:v>22.692694129467487</c:v>
                </c:pt>
                <c:pt idx="6">
                  <c:v>0.93296971436774712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CCF-4795-BB49-CCE637AAD53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Лист4!$EP$18:$EP$24</c:f>
              <c:numCache>
                <c:formatCode>0.00</c:formatCode>
                <c:ptCount val="7"/>
                <c:pt idx="0">
                  <c:v>1.1767399267399268</c:v>
                </c:pt>
                <c:pt idx="1">
                  <c:v>35.709706959706963</c:v>
                </c:pt>
                <c:pt idx="2">
                  <c:v>15.943223443223443</c:v>
                </c:pt>
                <c:pt idx="3">
                  <c:v>1.4844322344322345</c:v>
                </c:pt>
                <c:pt idx="4">
                  <c:v>5.7197802197802199</c:v>
                </c:pt>
                <c:pt idx="5">
                  <c:v>12.923076923076923</c:v>
                </c:pt>
                <c:pt idx="6">
                  <c:v>27.043040293040288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CCF-4795-BB49-CCE637AAD53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Лист4!$EQ$18:$EQ$24</c:f>
              <c:numCache>
                <c:formatCode>0.00</c:formatCode>
                <c:ptCount val="7"/>
                <c:pt idx="0">
                  <c:v>6.0805860805860812</c:v>
                </c:pt>
                <c:pt idx="1">
                  <c:v>55.395604395604394</c:v>
                </c:pt>
                <c:pt idx="2">
                  <c:v>22.617216117216117</c:v>
                </c:pt>
                <c:pt idx="3">
                  <c:v>2.9478021978021975</c:v>
                </c:pt>
                <c:pt idx="4">
                  <c:v>9.395604395604396</c:v>
                </c:pt>
                <c:pt idx="5">
                  <c:v>2.9652014652014653</c:v>
                </c:pt>
                <c:pt idx="6">
                  <c:v>0.5979853479853432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CCF-4795-BB49-CCE637AAD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099295"/>
        <c:axId val="469107615"/>
      </c:radarChart>
      <c:catAx>
        <c:axId val="46909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107615"/>
        <c:crosses val="autoZero"/>
        <c:auto val="1"/>
        <c:lblAlgn val="ctr"/>
        <c:lblOffset val="100"/>
        <c:noMultiLvlLbl val="0"/>
      </c:catAx>
      <c:valAx>
        <c:axId val="46910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09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Тайцы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Лист4!$R$18:$R$24</c:f>
              <c:numCache>
                <c:formatCode>0.00</c:formatCode>
                <c:ptCount val="7"/>
                <c:pt idx="0">
                  <c:v>4.5669565217391312</c:v>
                </c:pt>
                <c:pt idx="1">
                  <c:v>7.9693913043478268</c:v>
                </c:pt>
                <c:pt idx="2">
                  <c:v>5.321739130434783</c:v>
                </c:pt>
                <c:pt idx="3">
                  <c:v>1.9923478260869567</c:v>
                </c:pt>
                <c:pt idx="4">
                  <c:v>5.6556521739130439</c:v>
                </c:pt>
                <c:pt idx="5">
                  <c:v>60.20869565217393</c:v>
                </c:pt>
                <c:pt idx="6">
                  <c:v>14.285217391304347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3C9-46FF-9FC3-855C1B0A4E7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Лист4!$S$18:$S$24</c:f>
              <c:numCache>
                <c:formatCode>0.00</c:formatCode>
                <c:ptCount val="7"/>
                <c:pt idx="0">
                  <c:v>4.59</c:v>
                </c:pt>
                <c:pt idx="1">
                  <c:v>9.42</c:v>
                </c:pt>
                <c:pt idx="2">
                  <c:v>7.26</c:v>
                </c:pt>
                <c:pt idx="3">
                  <c:v>2.2599999999999998</c:v>
                </c:pt>
                <c:pt idx="4">
                  <c:v>5.05</c:v>
                </c:pt>
                <c:pt idx="5">
                  <c:v>56.22999999999999</c:v>
                </c:pt>
                <c:pt idx="6">
                  <c:v>15.19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3C9-46FF-9FC3-855C1B0A4E7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Лист4!$T$18:$T$24</c:f>
              <c:numCache>
                <c:formatCode>0.00</c:formatCode>
                <c:ptCount val="7"/>
                <c:pt idx="0">
                  <c:v>3.52</c:v>
                </c:pt>
                <c:pt idx="1">
                  <c:v>10.78</c:v>
                </c:pt>
                <c:pt idx="2">
                  <c:v>7.52</c:v>
                </c:pt>
                <c:pt idx="3">
                  <c:v>2.77</c:v>
                </c:pt>
                <c:pt idx="4">
                  <c:v>5.05</c:v>
                </c:pt>
                <c:pt idx="5">
                  <c:v>54.170000000000016</c:v>
                </c:pt>
                <c:pt idx="6">
                  <c:v>16.190000000000001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3C9-46FF-9FC3-855C1B0A4E7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Лист4!$U$18:$U$24</c:f>
              <c:numCache>
                <c:formatCode>0.00</c:formatCode>
                <c:ptCount val="7"/>
                <c:pt idx="0">
                  <c:v>2.67</c:v>
                </c:pt>
                <c:pt idx="1">
                  <c:v>19.47</c:v>
                </c:pt>
                <c:pt idx="2">
                  <c:v>8.9</c:v>
                </c:pt>
                <c:pt idx="3">
                  <c:v>3.67</c:v>
                </c:pt>
                <c:pt idx="4">
                  <c:v>6.73</c:v>
                </c:pt>
                <c:pt idx="5">
                  <c:v>46.989999999999988</c:v>
                </c:pt>
                <c:pt idx="6">
                  <c:v>11.57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3C9-46FF-9FC3-855C1B0A4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099295"/>
        <c:axId val="469107615"/>
      </c:radarChart>
      <c:catAx>
        <c:axId val="46909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107615"/>
        <c:crosses val="autoZero"/>
        <c:auto val="1"/>
        <c:lblAlgn val="ctr"/>
        <c:lblOffset val="100"/>
        <c:noMultiLvlLbl val="0"/>
      </c:catAx>
      <c:valAx>
        <c:axId val="46910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09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Приозёрск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Лист4!$GT$18:$GT$24</c:f>
              <c:numCache>
                <c:formatCode>0.00</c:formatCode>
                <c:ptCount val="7"/>
                <c:pt idx="0">
                  <c:v>15.00534411450346</c:v>
                </c:pt>
                <c:pt idx="1">
                  <c:v>26.562572610251404</c:v>
                </c:pt>
                <c:pt idx="2">
                  <c:v>3.7176448719736044</c:v>
                </c:pt>
                <c:pt idx="3">
                  <c:v>11.520052047028209</c:v>
                </c:pt>
                <c:pt idx="4">
                  <c:v>11.45882035076102</c:v>
                </c:pt>
                <c:pt idx="5">
                  <c:v>25.369099162227503</c:v>
                </c:pt>
                <c:pt idx="6">
                  <c:v>6.3664668432547975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D55-4F78-AF10-A9AB5586D1A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Лист4!$GU$18:$GU$24</c:f>
              <c:numCache>
                <c:formatCode>0.00</c:formatCode>
                <c:ptCount val="7"/>
                <c:pt idx="0">
                  <c:v>17.306511781649906</c:v>
                </c:pt>
                <c:pt idx="1">
                  <c:v>28.601784955376118</c:v>
                </c:pt>
                <c:pt idx="2">
                  <c:v>10.369740756481088</c:v>
                </c:pt>
                <c:pt idx="3">
                  <c:v>7.1539878169712425</c:v>
                </c:pt>
                <c:pt idx="4">
                  <c:v>17.010448091963877</c:v>
                </c:pt>
                <c:pt idx="5">
                  <c:v>16.266219991334037</c:v>
                </c:pt>
                <c:pt idx="6">
                  <c:v>3.2913066062237339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D55-4F78-AF10-A9AB5586D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748895"/>
        <c:axId val="430769695"/>
      </c:radarChart>
      <c:catAx>
        <c:axId val="43074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69695"/>
        <c:crosses val="autoZero"/>
        <c:auto val="1"/>
        <c:lblAlgn val="ctr"/>
        <c:lblOffset val="100"/>
        <c:noMultiLvlLbl val="0"/>
      </c:catAx>
      <c:valAx>
        <c:axId val="4307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4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Муринское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Лист4!$EZ$18:$EZ$24</c:f>
              <c:numCache>
                <c:formatCode>0.00</c:formatCode>
                <c:ptCount val="7"/>
                <c:pt idx="0">
                  <c:v>2.81</c:v>
                </c:pt>
                <c:pt idx="1">
                  <c:v>28.67</c:v>
                </c:pt>
                <c:pt idx="2">
                  <c:v>17.71</c:v>
                </c:pt>
                <c:pt idx="3">
                  <c:v>3.42</c:v>
                </c:pt>
                <c:pt idx="4">
                  <c:v>26.5</c:v>
                </c:pt>
                <c:pt idx="5">
                  <c:v>14.429999999999993</c:v>
                </c:pt>
                <c:pt idx="6">
                  <c:v>6.46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7E5-4701-A400-0339E9BCF76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Лист4!$FA$18:$FA$24</c:f>
              <c:numCache>
                <c:formatCode>0.00</c:formatCode>
                <c:ptCount val="7"/>
                <c:pt idx="0">
                  <c:v>2.81</c:v>
                </c:pt>
                <c:pt idx="1">
                  <c:v>28.67</c:v>
                </c:pt>
                <c:pt idx="2">
                  <c:v>17.71</c:v>
                </c:pt>
                <c:pt idx="3">
                  <c:v>3.42</c:v>
                </c:pt>
                <c:pt idx="4">
                  <c:v>26.5</c:v>
                </c:pt>
                <c:pt idx="5">
                  <c:v>14.429999999999993</c:v>
                </c:pt>
                <c:pt idx="6">
                  <c:v>6.46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Лист4!#REF!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7E5-4701-A400-0339E9BCF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748895"/>
        <c:axId val="430769695"/>
      </c:radarChart>
      <c:catAx>
        <c:axId val="43074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69695"/>
        <c:crosses val="autoZero"/>
        <c:auto val="1"/>
        <c:lblAlgn val="ctr"/>
        <c:lblOffset val="100"/>
        <c:noMultiLvlLbl val="0"/>
      </c:catAx>
      <c:valAx>
        <c:axId val="4307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4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Агалатовское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Лист4!$AV$18:$AV$24</c:f>
              <c:numCache>
                <c:formatCode>0.00</c:formatCode>
                <c:ptCount val="7"/>
                <c:pt idx="0">
                  <c:v>0.28000000000000003</c:v>
                </c:pt>
                <c:pt idx="1">
                  <c:v>2.2799999999999998</c:v>
                </c:pt>
                <c:pt idx="2">
                  <c:v>2.0224278426249684</c:v>
                </c:pt>
                <c:pt idx="3">
                  <c:v>0.09</c:v>
                </c:pt>
                <c:pt idx="4">
                  <c:v>1.6472426786700196E-2</c:v>
                </c:pt>
                <c:pt idx="5">
                  <c:v>61.89109973058833</c:v>
                </c:pt>
                <c:pt idx="6">
                  <c:v>33.42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9-4486-8855-D301DFC1F40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Лист4!$AW$18:$AW$24</c:f>
              <c:numCache>
                <c:formatCode>0.00</c:formatCode>
                <c:ptCount val="7"/>
                <c:pt idx="0">
                  <c:v>3.29</c:v>
                </c:pt>
                <c:pt idx="1">
                  <c:v>2.88</c:v>
                </c:pt>
                <c:pt idx="2">
                  <c:v>2.7409394110353187</c:v>
                </c:pt>
                <c:pt idx="3">
                  <c:v>0.36</c:v>
                </c:pt>
                <c:pt idx="4">
                  <c:v>1.4014837251819963</c:v>
                </c:pt>
                <c:pt idx="5">
                  <c:v>59.097576863782685</c:v>
                </c:pt>
                <c:pt idx="6">
                  <c:v>30.23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9-4486-8855-D301DFC1F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748895"/>
        <c:axId val="430769695"/>
      </c:radarChart>
      <c:catAx>
        <c:axId val="43074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69695"/>
        <c:crosses val="autoZero"/>
        <c:auto val="1"/>
        <c:lblAlgn val="ctr"/>
        <c:lblOffset val="100"/>
        <c:noMultiLvlLbl val="0"/>
      </c:catAx>
      <c:valAx>
        <c:axId val="4307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4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SPCA!$G$2</c:f>
              <c:strCache>
                <c:ptCount val="1"/>
                <c:pt idx="0">
                  <c:v>Дисбаланс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SPCA!$F$4:$F$13</c:f>
              <c:numCache>
                <c:formatCode>General</c:formatCode>
                <c:ptCount val="10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16</c:v>
                </c:pt>
                <c:pt idx="4">
                  <c:v>23</c:v>
                </c:pt>
                <c:pt idx="5">
                  <c:v>24</c:v>
                </c:pt>
                <c:pt idx="6">
                  <c:v>40</c:v>
                </c:pt>
                <c:pt idx="7">
                  <c:v>55</c:v>
                </c:pt>
                <c:pt idx="8">
                  <c:v>83</c:v>
                </c:pt>
                <c:pt idx="9">
                  <c:v>124</c:v>
                </c:pt>
              </c:numCache>
            </c:numRef>
          </c:xVal>
          <c:yVal>
            <c:numRef>
              <c:f>SPCA!$G$4:$G$13</c:f>
              <c:numCache>
                <c:formatCode>General</c:formatCode>
                <c:ptCount val="10"/>
                <c:pt idx="0">
                  <c:v>78</c:v>
                </c:pt>
                <c:pt idx="1">
                  <c:v>66</c:v>
                </c:pt>
                <c:pt idx="2">
                  <c:v>96</c:v>
                </c:pt>
                <c:pt idx="3">
                  <c:v>98</c:v>
                </c:pt>
                <c:pt idx="4">
                  <c:v>100</c:v>
                </c:pt>
                <c:pt idx="5">
                  <c:v>110</c:v>
                </c:pt>
                <c:pt idx="6">
                  <c:v>62</c:v>
                </c:pt>
                <c:pt idx="7">
                  <c:v>88</c:v>
                </c:pt>
                <c:pt idx="8">
                  <c:v>66</c:v>
                </c:pt>
                <c:pt idx="9">
                  <c:v>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D6-4B7F-837A-28C985E13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0624"/>
        <c:axId val="150197296"/>
      </c:scatterChart>
      <c:valAx>
        <c:axId val="15020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197296"/>
        <c:crosses val="autoZero"/>
        <c:crossBetween val="midCat"/>
      </c:valAx>
      <c:valAx>
        <c:axId val="15019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20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8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2.xml"/><Relationship Id="rId13" Type="http://schemas.openxmlformats.org/officeDocument/2006/relationships/chart" Target="../charts/chart47.xml"/><Relationship Id="rId3" Type="http://schemas.openxmlformats.org/officeDocument/2006/relationships/chart" Target="../charts/chart37.xml"/><Relationship Id="rId7" Type="http://schemas.openxmlformats.org/officeDocument/2006/relationships/chart" Target="../charts/chart41.xml"/><Relationship Id="rId12" Type="http://schemas.openxmlformats.org/officeDocument/2006/relationships/chart" Target="../charts/chart46.xml"/><Relationship Id="rId17" Type="http://schemas.openxmlformats.org/officeDocument/2006/relationships/chart" Target="../charts/chart51.xml"/><Relationship Id="rId2" Type="http://schemas.openxmlformats.org/officeDocument/2006/relationships/chart" Target="../charts/chart36.xml"/><Relationship Id="rId16" Type="http://schemas.openxmlformats.org/officeDocument/2006/relationships/chart" Target="../charts/chart50.xml"/><Relationship Id="rId1" Type="http://schemas.openxmlformats.org/officeDocument/2006/relationships/chart" Target="../charts/chart35.xml"/><Relationship Id="rId6" Type="http://schemas.openxmlformats.org/officeDocument/2006/relationships/chart" Target="../charts/chart40.xml"/><Relationship Id="rId11" Type="http://schemas.openxmlformats.org/officeDocument/2006/relationships/chart" Target="../charts/chart45.xml"/><Relationship Id="rId5" Type="http://schemas.openxmlformats.org/officeDocument/2006/relationships/chart" Target="../charts/chart39.xml"/><Relationship Id="rId15" Type="http://schemas.openxmlformats.org/officeDocument/2006/relationships/chart" Target="../charts/chart49.xml"/><Relationship Id="rId10" Type="http://schemas.openxmlformats.org/officeDocument/2006/relationships/chart" Target="../charts/chart44.xml"/><Relationship Id="rId4" Type="http://schemas.openxmlformats.org/officeDocument/2006/relationships/chart" Target="../charts/chart38.xml"/><Relationship Id="rId9" Type="http://schemas.openxmlformats.org/officeDocument/2006/relationships/chart" Target="../charts/chart43.xml"/><Relationship Id="rId14" Type="http://schemas.openxmlformats.org/officeDocument/2006/relationships/chart" Target="../charts/chart4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1539246</xdr:colOff>
      <xdr:row>17</xdr:row>
      <xdr:rowOff>163830</xdr:rowOff>
    </xdr:from>
    <xdr:to>
      <xdr:col>6</xdr:col>
      <xdr:colOff>0</xdr:colOff>
      <xdr:row>32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22CD14F-6F27-4A1A-9043-1165B10B4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830580</xdr:colOff>
      <xdr:row>17</xdr:row>
      <xdr:rowOff>167640</xdr:rowOff>
    </xdr:from>
    <xdr:to>
      <xdr:col>10</xdr:col>
      <xdr:colOff>845814</xdr:colOff>
      <xdr:row>32</xdr:row>
      <xdr:rowOff>171450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8ADACAF-FF9F-47E1-805B-C83018F70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1493520</xdr:colOff>
      <xdr:row>32</xdr:row>
      <xdr:rowOff>167640</xdr:rowOff>
    </xdr:from>
    <xdr:to>
      <xdr:col>5</xdr:col>
      <xdr:colOff>830574</xdr:colOff>
      <xdr:row>47</xdr:row>
      <xdr:rowOff>171450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91ECB1E-3D66-4AAA-82AC-E3C7031E0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830580</xdr:colOff>
      <xdr:row>32</xdr:row>
      <xdr:rowOff>152400</xdr:rowOff>
    </xdr:from>
    <xdr:to>
      <xdr:col>10</xdr:col>
      <xdr:colOff>845814</xdr:colOff>
      <xdr:row>47</xdr:row>
      <xdr:rowOff>156210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5F2AF836-D160-4B8E-8133-FB6A40E9E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22866</xdr:colOff>
      <xdr:row>49</xdr:row>
      <xdr:rowOff>171450</xdr:rowOff>
    </xdr:from>
    <xdr:to>
      <xdr:col>10</xdr:col>
      <xdr:colOff>922020</xdr:colOff>
      <xdr:row>68</xdr:row>
      <xdr:rowOff>60960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C5FB4C7-5CBC-4B34-8FCF-4A3ED375D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830580</xdr:colOff>
      <xdr:row>17</xdr:row>
      <xdr:rowOff>144780</xdr:rowOff>
    </xdr:from>
    <xdr:to>
      <xdr:col>10</xdr:col>
      <xdr:colOff>845814</xdr:colOff>
      <xdr:row>32</xdr:row>
      <xdr:rowOff>148590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CB94C91-D7DF-4A8D-AEDD-D23C8C1A3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1485900</xdr:colOff>
      <xdr:row>32</xdr:row>
      <xdr:rowOff>152400</xdr:rowOff>
    </xdr:from>
    <xdr:to>
      <xdr:col>5</xdr:col>
      <xdr:colOff>822954</xdr:colOff>
      <xdr:row>47</xdr:row>
      <xdr:rowOff>156210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9FADA302-09EF-4FF2-9DD7-DB63DC9C0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834390</xdr:colOff>
      <xdr:row>17</xdr:row>
      <xdr:rowOff>144780</xdr:rowOff>
    </xdr:from>
    <xdr:to>
      <xdr:col>15</xdr:col>
      <xdr:colOff>358140</xdr:colOff>
      <xdr:row>32</xdr:row>
      <xdr:rowOff>160020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67DA2D2F-9493-47D6-8D14-8CA26D124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834390</xdr:colOff>
      <xdr:row>32</xdr:row>
      <xdr:rowOff>137160</xdr:rowOff>
    </xdr:from>
    <xdr:to>
      <xdr:col>15</xdr:col>
      <xdr:colOff>365760</xdr:colOff>
      <xdr:row>48</xdr:row>
      <xdr:rowOff>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22A17E26-4A8F-4729-8372-B5839EB71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335280</xdr:colOff>
      <xdr:row>17</xdr:row>
      <xdr:rowOff>167640</xdr:rowOff>
    </xdr:from>
    <xdr:to>
      <xdr:col>21</xdr:col>
      <xdr:colOff>339090</xdr:colOff>
      <xdr:row>32</xdr:row>
      <xdr:rowOff>152400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01CD4573-FD58-4725-9A5A-A42494611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331694</xdr:colOff>
      <xdr:row>32</xdr:row>
      <xdr:rowOff>143435</xdr:rowOff>
    </xdr:from>
    <xdr:to>
      <xdr:col>21</xdr:col>
      <xdr:colOff>277906</xdr:colOff>
      <xdr:row>48</xdr:row>
      <xdr:rowOff>17929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DDFEE7AD-6AA3-4752-ADC8-3E0493C7D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820066</xdr:colOff>
      <xdr:row>48</xdr:row>
      <xdr:rowOff>118375</xdr:rowOff>
    </xdr:from>
    <xdr:to>
      <xdr:col>15</xdr:col>
      <xdr:colOff>551125</xdr:colOff>
      <xdr:row>63</xdr:row>
      <xdr:rowOff>200688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943BE6B5-844E-4863-A480-7A00F5420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571499</xdr:colOff>
      <xdr:row>48</xdr:row>
      <xdr:rowOff>121227</xdr:rowOff>
    </xdr:from>
    <xdr:to>
      <xdr:col>20</xdr:col>
      <xdr:colOff>302558</xdr:colOff>
      <xdr:row>63</xdr:row>
      <xdr:rowOff>203540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B873C072-BECC-4701-9F11-C59D60A5B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1673680</xdr:colOff>
      <xdr:row>83</xdr:row>
      <xdr:rowOff>163288</xdr:rowOff>
    </xdr:from>
    <xdr:to>
      <xdr:col>5</xdr:col>
      <xdr:colOff>653144</xdr:colOff>
      <xdr:row>99</xdr:row>
      <xdr:rowOff>136072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341FC4F5-DA3C-4790-8B50-060C7D955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625930</xdr:colOff>
      <xdr:row>83</xdr:row>
      <xdr:rowOff>163286</xdr:rowOff>
    </xdr:from>
    <xdr:to>
      <xdr:col>10</xdr:col>
      <xdr:colOff>367395</xdr:colOff>
      <xdr:row>99</xdr:row>
      <xdr:rowOff>136070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5E3326B4-BBE9-4FE5-803E-5D023C730D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353787</xdr:colOff>
      <xdr:row>83</xdr:row>
      <xdr:rowOff>163286</xdr:rowOff>
    </xdr:from>
    <xdr:to>
      <xdr:col>15</xdr:col>
      <xdr:colOff>95251</xdr:colOff>
      <xdr:row>99</xdr:row>
      <xdr:rowOff>136070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AABACED7-D7FD-4CEF-A39F-9F4AFC29C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54429</xdr:colOff>
      <xdr:row>83</xdr:row>
      <xdr:rowOff>163286</xdr:rowOff>
    </xdr:from>
    <xdr:to>
      <xdr:col>19</xdr:col>
      <xdr:colOff>762000</xdr:colOff>
      <xdr:row>99</xdr:row>
      <xdr:rowOff>136070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331D9012-DB14-42E4-A504-F3F6487DE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100</xdr:row>
      <xdr:rowOff>0</xdr:rowOff>
    </xdr:from>
    <xdr:to>
      <xdr:col>5</xdr:col>
      <xdr:colOff>707571</xdr:colOff>
      <xdr:row>115</xdr:row>
      <xdr:rowOff>176893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13C3186D-7673-4EF6-A6C0-0B7E10D6A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571500</xdr:colOff>
      <xdr:row>100</xdr:row>
      <xdr:rowOff>0</xdr:rowOff>
    </xdr:from>
    <xdr:to>
      <xdr:col>10</xdr:col>
      <xdr:colOff>312965</xdr:colOff>
      <xdr:row>115</xdr:row>
      <xdr:rowOff>176893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D75C2C2E-4FD4-41C7-8B38-3E914DBD6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326572</xdr:colOff>
      <xdr:row>100</xdr:row>
      <xdr:rowOff>0</xdr:rowOff>
    </xdr:from>
    <xdr:to>
      <xdr:col>15</xdr:col>
      <xdr:colOff>68036</xdr:colOff>
      <xdr:row>115</xdr:row>
      <xdr:rowOff>176893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3770D8BA-299F-46B7-A8AF-3DB4DF6AF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15</xdr:col>
      <xdr:colOff>0</xdr:colOff>
      <xdr:row>100</xdr:row>
      <xdr:rowOff>0</xdr:rowOff>
    </xdr:from>
    <xdr:to>
      <xdr:col>19</xdr:col>
      <xdr:colOff>707571</xdr:colOff>
      <xdr:row>115</xdr:row>
      <xdr:rowOff>176893</xdr:rowOff>
    </xdr:to>
    <xdr:graphicFrame macro="">
      <xdr:nvGraphicFramePr>
        <xdr:cNvPr id="27" name="Диаграмма 26">
          <a:extLst>
            <a:ext uri="{FF2B5EF4-FFF2-40B4-BE49-F238E27FC236}">
              <a16:creationId xmlns:a16="http://schemas.microsoft.com/office/drawing/2014/main" id="{6E1A23B9-A4D1-425C-8C1F-2BB6B923C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1537608</xdr:colOff>
      <xdr:row>116</xdr:row>
      <xdr:rowOff>0</xdr:rowOff>
    </xdr:from>
    <xdr:to>
      <xdr:col>5</xdr:col>
      <xdr:colOff>544285</xdr:colOff>
      <xdr:row>131</xdr:row>
      <xdr:rowOff>176893</xdr:rowOff>
    </xdr:to>
    <xdr:graphicFrame macro="">
      <xdr:nvGraphicFramePr>
        <xdr:cNvPr id="28" name="Диаграмма 27">
          <a:extLst>
            <a:ext uri="{FF2B5EF4-FFF2-40B4-BE49-F238E27FC236}">
              <a16:creationId xmlns:a16="http://schemas.microsoft.com/office/drawing/2014/main" id="{08FB9060-72CC-4DE1-BC72-9305B1C9D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462643</xdr:colOff>
      <xdr:row>116</xdr:row>
      <xdr:rowOff>0</xdr:rowOff>
    </xdr:from>
    <xdr:to>
      <xdr:col>10</xdr:col>
      <xdr:colOff>231321</xdr:colOff>
      <xdr:row>131</xdr:row>
      <xdr:rowOff>176893</xdr:rowOff>
    </xdr:to>
    <xdr:graphicFrame macro="">
      <xdr:nvGraphicFramePr>
        <xdr:cNvPr id="29" name="Диаграмма 28">
          <a:extLst>
            <a:ext uri="{FF2B5EF4-FFF2-40B4-BE49-F238E27FC236}">
              <a16:creationId xmlns:a16="http://schemas.microsoft.com/office/drawing/2014/main" id="{FAEB1763-B721-4B1D-A935-057D9F95F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10</xdr:col>
      <xdr:colOff>190501</xdr:colOff>
      <xdr:row>115</xdr:row>
      <xdr:rowOff>176894</xdr:rowOff>
    </xdr:from>
    <xdr:to>
      <xdr:col>14</xdr:col>
      <xdr:colOff>925285</xdr:colOff>
      <xdr:row>131</xdr:row>
      <xdr:rowOff>149679</xdr:rowOff>
    </xdr:to>
    <xdr:graphicFrame macro="">
      <xdr:nvGraphicFramePr>
        <xdr:cNvPr id="30" name="Диаграмма 29">
          <a:extLst>
            <a:ext uri="{FF2B5EF4-FFF2-40B4-BE49-F238E27FC236}">
              <a16:creationId xmlns:a16="http://schemas.microsoft.com/office/drawing/2014/main" id="{7AE93614-CA56-4A12-9839-5E16734E3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14</xdr:col>
      <xdr:colOff>911679</xdr:colOff>
      <xdr:row>115</xdr:row>
      <xdr:rowOff>190501</xdr:rowOff>
    </xdr:from>
    <xdr:to>
      <xdr:col>19</xdr:col>
      <xdr:colOff>680356</xdr:colOff>
      <xdr:row>131</xdr:row>
      <xdr:rowOff>163286</xdr:rowOff>
    </xdr:to>
    <xdr:graphicFrame macro="">
      <xdr:nvGraphicFramePr>
        <xdr:cNvPr id="31" name="Диаграмма 30">
          <a:extLst>
            <a:ext uri="{FF2B5EF4-FFF2-40B4-BE49-F238E27FC236}">
              <a16:creationId xmlns:a16="http://schemas.microsoft.com/office/drawing/2014/main" id="{EFEFCE77-3F53-49E8-926B-E3698E20B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1537608</xdr:colOff>
      <xdr:row>132</xdr:row>
      <xdr:rowOff>27214</xdr:rowOff>
    </xdr:from>
    <xdr:to>
      <xdr:col>5</xdr:col>
      <xdr:colOff>544285</xdr:colOff>
      <xdr:row>148</xdr:row>
      <xdr:rowOff>0</xdr:rowOff>
    </xdr:to>
    <xdr:graphicFrame macro="">
      <xdr:nvGraphicFramePr>
        <xdr:cNvPr id="32" name="Диаграмма 31">
          <a:extLst>
            <a:ext uri="{FF2B5EF4-FFF2-40B4-BE49-F238E27FC236}">
              <a16:creationId xmlns:a16="http://schemas.microsoft.com/office/drawing/2014/main" id="{0FC0961E-C0B2-4A0B-811A-8375E6D88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</xdr:col>
      <xdr:colOff>462643</xdr:colOff>
      <xdr:row>132</xdr:row>
      <xdr:rowOff>27214</xdr:rowOff>
    </xdr:from>
    <xdr:to>
      <xdr:col>10</xdr:col>
      <xdr:colOff>231321</xdr:colOff>
      <xdr:row>148</xdr:row>
      <xdr:rowOff>0</xdr:rowOff>
    </xdr:to>
    <xdr:graphicFrame macro="">
      <xdr:nvGraphicFramePr>
        <xdr:cNvPr id="33" name="Диаграмма 32">
          <a:extLst>
            <a:ext uri="{FF2B5EF4-FFF2-40B4-BE49-F238E27FC236}">
              <a16:creationId xmlns:a16="http://schemas.microsoft.com/office/drawing/2014/main" id="{718539B6-B35F-4440-AD21-91FF4815C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10</xdr:col>
      <xdr:colOff>190501</xdr:colOff>
      <xdr:row>132</xdr:row>
      <xdr:rowOff>0</xdr:rowOff>
    </xdr:from>
    <xdr:to>
      <xdr:col>14</xdr:col>
      <xdr:colOff>925285</xdr:colOff>
      <xdr:row>147</xdr:row>
      <xdr:rowOff>176893</xdr:rowOff>
    </xdr:to>
    <xdr:graphicFrame macro="">
      <xdr:nvGraphicFramePr>
        <xdr:cNvPr id="34" name="Диаграмма 33">
          <a:extLst>
            <a:ext uri="{FF2B5EF4-FFF2-40B4-BE49-F238E27FC236}">
              <a16:creationId xmlns:a16="http://schemas.microsoft.com/office/drawing/2014/main" id="{59AB0929-B46C-4C4B-9053-5DD8372D7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14</xdr:col>
      <xdr:colOff>911679</xdr:colOff>
      <xdr:row>132</xdr:row>
      <xdr:rowOff>13607</xdr:rowOff>
    </xdr:from>
    <xdr:to>
      <xdr:col>19</xdr:col>
      <xdr:colOff>680356</xdr:colOff>
      <xdr:row>147</xdr:row>
      <xdr:rowOff>190500</xdr:rowOff>
    </xdr:to>
    <xdr:graphicFrame macro="">
      <xdr:nvGraphicFramePr>
        <xdr:cNvPr id="35" name="Диаграмма 34">
          <a:extLst>
            <a:ext uri="{FF2B5EF4-FFF2-40B4-BE49-F238E27FC236}">
              <a16:creationId xmlns:a16="http://schemas.microsoft.com/office/drawing/2014/main" id="{24D79FD3-3A88-41ED-81EB-CB309EAD4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451757</xdr:colOff>
      <xdr:row>148</xdr:row>
      <xdr:rowOff>29936</xdr:rowOff>
    </xdr:from>
    <xdr:to>
      <xdr:col>10</xdr:col>
      <xdr:colOff>220435</xdr:colOff>
      <xdr:row>164</xdr:row>
      <xdr:rowOff>2722</xdr:rowOff>
    </xdr:to>
    <xdr:graphicFrame macro="">
      <xdr:nvGraphicFramePr>
        <xdr:cNvPr id="36" name="Диаграмма 35">
          <a:extLst>
            <a:ext uri="{FF2B5EF4-FFF2-40B4-BE49-F238E27FC236}">
              <a16:creationId xmlns:a16="http://schemas.microsoft.com/office/drawing/2014/main" id="{DBD8BDE5-5186-42FE-AB01-283E04C79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10</xdr:col>
      <xdr:colOff>179615</xdr:colOff>
      <xdr:row>148</xdr:row>
      <xdr:rowOff>2722</xdr:rowOff>
    </xdr:from>
    <xdr:to>
      <xdr:col>14</xdr:col>
      <xdr:colOff>914399</xdr:colOff>
      <xdr:row>163</xdr:row>
      <xdr:rowOff>179615</xdr:rowOff>
    </xdr:to>
    <xdr:graphicFrame macro="">
      <xdr:nvGraphicFramePr>
        <xdr:cNvPr id="37" name="Диаграмма 36">
          <a:extLst>
            <a:ext uri="{FF2B5EF4-FFF2-40B4-BE49-F238E27FC236}">
              <a16:creationId xmlns:a16="http://schemas.microsoft.com/office/drawing/2014/main" id="{3257746A-8DF1-45D5-93FC-F3CCDFDFF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21</xdr:col>
      <xdr:colOff>394606</xdr:colOff>
      <xdr:row>17</xdr:row>
      <xdr:rowOff>136072</xdr:rowOff>
    </xdr:from>
    <xdr:to>
      <xdr:col>26</xdr:col>
      <xdr:colOff>398416</xdr:colOff>
      <xdr:row>32</xdr:row>
      <xdr:rowOff>120832</xdr:rowOff>
    </xdr:to>
    <xdr:graphicFrame macro="">
      <xdr:nvGraphicFramePr>
        <xdr:cNvPr id="38" name="Диаграмма 37">
          <a:extLst>
            <a:ext uri="{FF2B5EF4-FFF2-40B4-BE49-F238E27FC236}">
              <a16:creationId xmlns:a16="http://schemas.microsoft.com/office/drawing/2014/main" id="{1C15B05C-5E31-4692-86E4-260E39D8A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26</xdr:col>
      <xdr:colOff>394607</xdr:colOff>
      <xdr:row>17</xdr:row>
      <xdr:rowOff>122465</xdr:rowOff>
    </xdr:from>
    <xdr:to>
      <xdr:col>35</xdr:col>
      <xdr:colOff>71846</xdr:colOff>
      <xdr:row>32</xdr:row>
      <xdr:rowOff>107225</xdr:rowOff>
    </xdr:to>
    <xdr:graphicFrame macro="">
      <xdr:nvGraphicFramePr>
        <xdr:cNvPr id="39" name="Диаграмма 38">
          <a:extLst>
            <a:ext uri="{FF2B5EF4-FFF2-40B4-BE49-F238E27FC236}">
              <a16:creationId xmlns:a16="http://schemas.microsoft.com/office/drawing/2014/main" id="{62CEE180-33CF-42F8-928C-DC899DFC28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17</xdr:col>
      <xdr:colOff>898072</xdr:colOff>
      <xdr:row>208</xdr:row>
      <xdr:rowOff>193221</xdr:rowOff>
    </xdr:from>
    <xdr:to>
      <xdr:col>22</xdr:col>
      <xdr:colOff>326572</xdr:colOff>
      <xdr:row>222</xdr:row>
      <xdr:rowOff>78921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0D18AD0-C020-4130-80FE-EFB323B89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107949</xdr:colOff>
      <xdr:row>50</xdr:row>
      <xdr:rowOff>146048</xdr:rowOff>
    </xdr:from>
    <xdr:to>
      <xdr:col>18</xdr:col>
      <xdr:colOff>508733</xdr:colOff>
      <xdr:row>84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1500C6B-7DD9-4449-B21E-FD1BF1B87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457200</xdr:colOff>
      <xdr:row>50</xdr:row>
      <xdr:rowOff>139700</xdr:rowOff>
    </xdr:from>
    <xdr:to>
      <xdr:col>7</xdr:col>
      <xdr:colOff>103909</xdr:colOff>
      <xdr:row>84</xdr:row>
      <xdr:rowOff>31752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AB08CFB-B484-44C0-A354-A7DEFD25D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65</xdr:col>
      <xdr:colOff>152401</xdr:colOff>
      <xdr:row>50</xdr:row>
      <xdr:rowOff>142010</xdr:rowOff>
    </xdr:from>
    <xdr:to>
      <xdr:col>145</xdr:col>
      <xdr:colOff>509155</xdr:colOff>
      <xdr:row>84</xdr:row>
      <xdr:rowOff>42144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0ECBDED-72D1-458F-8830-DB5928273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413327</xdr:colOff>
      <xdr:row>84</xdr:row>
      <xdr:rowOff>25400</xdr:rowOff>
    </xdr:from>
    <xdr:to>
      <xdr:col>7</xdr:col>
      <xdr:colOff>121227</xdr:colOff>
      <xdr:row>117</xdr:row>
      <xdr:rowOff>133352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78C2861-64B5-46AD-AF98-99D2D43AE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365556</xdr:colOff>
      <xdr:row>150</xdr:row>
      <xdr:rowOff>124400</xdr:rowOff>
    </xdr:from>
    <xdr:to>
      <xdr:col>7</xdr:col>
      <xdr:colOff>100445</xdr:colOff>
      <xdr:row>184</xdr:row>
      <xdr:rowOff>9958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E6C9C35-C12D-472A-BA85-B1E703C13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145</xdr:col>
      <xdr:colOff>530803</xdr:colOff>
      <xdr:row>50</xdr:row>
      <xdr:rowOff>136382</xdr:rowOff>
    </xdr:from>
    <xdr:to>
      <xdr:col>172</xdr:col>
      <xdr:colOff>0</xdr:colOff>
      <xdr:row>84</xdr:row>
      <xdr:rowOff>136382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899DCE22-1B9D-41F8-AE59-9976948B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419100</xdr:colOff>
      <xdr:row>117</xdr:row>
      <xdr:rowOff>152400</xdr:rowOff>
    </xdr:from>
    <xdr:to>
      <xdr:col>7</xdr:col>
      <xdr:colOff>119062</xdr:colOff>
      <xdr:row>150</xdr:row>
      <xdr:rowOff>95249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523FDC41-C85A-4CB7-8CE8-45858E583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498766</xdr:colOff>
      <xdr:row>50</xdr:row>
      <xdr:rowOff>138546</xdr:rowOff>
    </xdr:from>
    <xdr:to>
      <xdr:col>40</xdr:col>
      <xdr:colOff>381000</xdr:colOff>
      <xdr:row>84</xdr:row>
      <xdr:rowOff>30598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A291CA29-9018-4A4B-A3A1-076805282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142876</xdr:colOff>
      <xdr:row>84</xdr:row>
      <xdr:rowOff>47626</xdr:rowOff>
    </xdr:from>
    <xdr:to>
      <xdr:col>18</xdr:col>
      <xdr:colOff>457200</xdr:colOff>
      <xdr:row>117</xdr:row>
      <xdr:rowOff>166688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6D8C164C-85BD-46D8-BFB1-6F8ADA2CE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119064</xdr:colOff>
      <xdr:row>150</xdr:row>
      <xdr:rowOff>119063</xdr:rowOff>
    </xdr:from>
    <xdr:to>
      <xdr:col>18</xdr:col>
      <xdr:colOff>370438</xdr:colOff>
      <xdr:row>184</xdr:row>
      <xdr:rowOff>4621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5EB47096-FF2A-4403-AD68-6954CDA20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447676</xdr:colOff>
      <xdr:row>150</xdr:row>
      <xdr:rowOff>119062</xdr:rowOff>
    </xdr:from>
    <xdr:to>
      <xdr:col>65</xdr:col>
      <xdr:colOff>71437</xdr:colOff>
      <xdr:row>184</xdr:row>
      <xdr:rowOff>4620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D950CE4C-F601-4BFC-B32C-364237E88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65</xdr:col>
      <xdr:colOff>66676</xdr:colOff>
      <xdr:row>150</xdr:row>
      <xdr:rowOff>71437</xdr:rowOff>
    </xdr:from>
    <xdr:to>
      <xdr:col>145</xdr:col>
      <xdr:colOff>547687</xdr:colOff>
      <xdr:row>183</xdr:row>
      <xdr:rowOff>171308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6F6F5692-5DD6-4280-8243-C1DDAB6D5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65</xdr:col>
      <xdr:colOff>42863</xdr:colOff>
      <xdr:row>117</xdr:row>
      <xdr:rowOff>0</xdr:rowOff>
    </xdr:from>
    <xdr:to>
      <xdr:col>145</xdr:col>
      <xdr:colOff>523874</xdr:colOff>
      <xdr:row>150</xdr:row>
      <xdr:rowOff>99870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5A39B8A0-2719-4663-A89E-CCAADEAE59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172</xdr:col>
      <xdr:colOff>0</xdr:colOff>
      <xdr:row>50</xdr:row>
      <xdr:rowOff>132906</xdr:rowOff>
    </xdr:from>
    <xdr:to>
      <xdr:col>201</xdr:col>
      <xdr:colOff>430768</xdr:colOff>
      <xdr:row>84</xdr:row>
      <xdr:rowOff>33416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A5C6891E-E2F6-4931-9FD3-1B91E13239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18</xdr:col>
      <xdr:colOff>462776</xdr:colOff>
      <xdr:row>84</xdr:row>
      <xdr:rowOff>46464</xdr:rowOff>
    </xdr:from>
    <xdr:to>
      <xdr:col>40</xdr:col>
      <xdr:colOff>367255</xdr:colOff>
      <xdr:row>117</xdr:row>
      <xdr:rowOff>155683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62863471-C241-494E-8174-475464969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145</xdr:col>
      <xdr:colOff>500063</xdr:colOff>
      <xdr:row>116</xdr:row>
      <xdr:rowOff>190499</xdr:rowOff>
    </xdr:from>
    <xdr:to>
      <xdr:col>172</xdr:col>
      <xdr:colOff>0</xdr:colOff>
      <xdr:row>150</xdr:row>
      <xdr:rowOff>90633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FD68DBF4-0605-4A22-9BC3-0D4057BB6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40</xdr:col>
      <xdr:colOff>228600</xdr:colOff>
      <xdr:row>50</xdr:row>
      <xdr:rowOff>152400</xdr:rowOff>
    </xdr:from>
    <xdr:to>
      <xdr:col>65</xdr:col>
      <xdr:colOff>133079</xdr:colOff>
      <xdr:row>84</xdr:row>
      <xdr:rowOff>33019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4F31A34C-4D28-4742-BACB-D1FC78B54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519112</xdr:colOff>
      <xdr:row>8</xdr:row>
      <xdr:rowOff>100012</xdr:rowOff>
    </xdr:from>
    <xdr:to>
      <xdr:col>15</xdr:col>
      <xdr:colOff>290512</xdr:colOff>
      <xdr:row>21</xdr:row>
      <xdr:rowOff>119062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850A0EE-315A-439A-AECE-505517346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Ион">
  <a:themeElements>
    <a:clrScheme name="Аспект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Ион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Ион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11"/>
  <sheetViews>
    <sheetView topLeftCell="S1" zoomScale="85" zoomScaleNormal="85" workbookViewId="0">
      <pane ySplit="1" topLeftCell="A5" activePane="bottomLeft" state="frozen"/>
      <selection pane="bottomLeft" activeCell="AH69" sqref="AH69"/>
    </sheetView>
  </sheetViews>
  <sheetFormatPr defaultRowHeight="16.5" x14ac:dyDescent="0.3"/>
  <cols>
    <col min="1" max="2" width="15.875" customWidth="1"/>
    <col min="3" max="9" width="12.75" customWidth="1"/>
    <col min="11" max="39" width="10.75" customWidth="1"/>
  </cols>
  <sheetData>
    <row r="1" spans="1:39" s="8" customFormat="1" x14ac:dyDescent="0.3">
      <c r="A1" s="8" t="s">
        <v>9</v>
      </c>
      <c r="C1" s="8">
        <v>2015</v>
      </c>
      <c r="D1" s="8">
        <v>2017</v>
      </c>
      <c r="E1" s="8">
        <v>2019</v>
      </c>
      <c r="F1" s="8">
        <v>2021</v>
      </c>
      <c r="G1" s="8">
        <v>2023</v>
      </c>
      <c r="H1" s="8">
        <v>2025</v>
      </c>
      <c r="I1" s="8">
        <v>2030</v>
      </c>
      <c r="L1" s="8" t="s">
        <v>36</v>
      </c>
      <c r="M1" s="12" t="s">
        <v>36</v>
      </c>
      <c r="N1" s="12" t="s">
        <v>31</v>
      </c>
      <c r="O1" s="8" t="s">
        <v>13</v>
      </c>
      <c r="P1" s="8" t="s">
        <v>14</v>
      </c>
      <c r="Q1" s="8" t="s">
        <v>15</v>
      </c>
      <c r="R1" s="8" t="s">
        <v>37</v>
      </c>
      <c r="S1" s="12" t="s">
        <v>16</v>
      </c>
      <c r="T1" s="12" t="s">
        <v>17</v>
      </c>
      <c r="U1" s="12" t="s">
        <v>32</v>
      </c>
      <c r="V1" s="8" t="s">
        <v>18</v>
      </c>
      <c r="W1" s="8" t="s">
        <v>19</v>
      </c>
      <c r="X1" s="12" t="s">
        <v>154</v>
      </c>
      <c r="Y1" s="12" t="s">
        <v>33</v>
      </c>
      <c r="Z1" s="8" t="s">
        <v>20</v>
      </c>
      <c r="AA1" s="8" t="s">
        <v>21</v>
      </c>
      <c r="AB1" s="8" t="s">
        <v>22</v>
      </c>
      <c r="AC1" s="8" t="s">
        <v>23</v>
      </c>
      <c r="AD1" s="12" t="s">
        <v>34</v>
      </c>
      <c r="AE1" s="8" t="s">
        <v>24</v>
      </c>
      <c r="AF1" s="8" t="s">
        <v>25</v>
      </c>
      <c r="AG1" s="8" t="s">
        <v>26</v>
      </c>
      <c r="AH1" s="12" t="s">
        <v>35</v>
      </c>
      <c r="AI1" s="8" t="s">
        <v>27</v>
      </c>
      <c r="AJ1" s="8" t="s">
        <v>28</v>
      </c>
      <c r="AK1" s="8" t="s">
        <v>29</v>
      </c>
      <c r="AL1" s="12" t="s">
        <v>30</v>
      </c>
      <c r="AM1" s="12" t="s">
        <v>121</v>
      </c>
    </row>
    <row r="2" spans="1:39" s="14" customFormat="1" x14ac:dyDescent="0.3">
      <c r="M2" s="17"/>
      <c r="N2" s="17"/>
      <c r="S2" s="17"/>
      <c r="T2" s="17"/>
      <c r="U2" s="17"/>
      <c r="X2" s="17"/>
      <c r="Y2" s="17"/>
      <c r="AD2" s="17"/>
      <c r="AH2" s="17"/>
      <c r="AL2" s="17"/>
      <c r="AM2" s="17"/>
    </row>
    <row r="3" spans="1:39" x14ac:dyDescent="0.3">
      <c r="A3" t="s">
        <v>0</v>
      </c>
      <c r="C3" s="1">
        <v>10976</v>
      </c>
      <c r="D3" s="1">
        <v>19775</v>
      </c>
      <c r="E3" s="1">
        <v>48800</v>
      </c>
      <c r="F3" s="1">
        <v>89093</v>
      </c>
      <c r="G3" s="1">
        <v>104611</v>
      </c>
      <c r="H3" s="1">
        <v>116293</v>
      </c>
      <c r="I3" s="1"/>
      <c r="J3" s="1"/>
      <c r="K3" s="1" t="s">
        <v>38</v>
      </c>
      <c r="L3" s="1">
        <v>1981.13</v>
      </c>
      <c r="M3" s="3">
        <f t="shared" ref="M3:M12" si="0">N3+S3+T3+U3+X3+Y3+AD3+AH3+AL3+AM3</f>
        <v>1690.39</v>
      </c>
      <c r="N3" s="3">
        <f>SUM(O3:R3)</f>
        <v>130.59</v>
      </c>
      <c r="O3" s="1">
        <v>18.29</v>
      </c>
      <c r="P3">
        <v>95.1</v>
      </c>
      <c r="Q3">
        <v>6.4</v>
      </c>
      <c r="R3">
        <v>10.8</v>
      </c>
      <c r="S3" s="2">
        <v>1</v>
      </c>
      <c r="T3" s="2">
        <v>4.4000000000000004</v>
      </c>
      <c r="U3" s="3">
        <f>SUM(V3:W3)</f>
        <v>76</v>
      </c>
      <c r="V3">
        <v>76</v>
      </c>
      <c r="W3">
        <v>0</v>
      </c>
      <c r="X3" s="2">
        <f>58.1+40.2+31</f>
        <v>129.30000000000001</v>
      </c>
      <c r="Y3" s="3">
        <f>SUM(Z3:AC3)</f>
        <v>621</v>
      </c>
      <c r="AA3">
        <v>621</v>
      </c>
      <c r="AD3" s="3">
        <f>SUM(AE3:AG3)</f>
        <v>213.6</v>
      </c>
      <c r="AE3">
        <v>0</v>
      </c>
      <c r="AG3">
        <v>213.6</v>
      </c>
      <c r="AH3" s="3">
        <f>SUM(AI3:AK3)</f>
        <v>46.4</v>
      </c>
      <c r="AI3">
        <v>14.4</v>
      </c>
      <c r="AK3">
        <v>32</v>
      </c>
      <c r="AL3" s="2">
        <v>423.2</v>
      </c>
      <c r="AM3" s="2">
        <v>44.9</v>
      </c>
    </row>
    <row r="4" spans="1:39" x14ac:dyDescent="0.3">
      <c r="C4" s="1"/>
      <c r="D4" s="1"/>
      <c r="E4" s="1"/>
      <c r="F4" s="1"/>
      <c r="G4" s="1"/>
      <c r="H4" s="1"/>
      <c r="I4" s="1"/>
      <c r="J4" s="1"/>
      <c r="K4" s="1"/>
      <c r="M4" s="5">
        <f t="shared" si="0"/>
        <v>1</v>
      </c>
      <c r="N4" s="5">
        <f>N3/$M$3</f>
        <v>7.7254361419554066E-2</v>
      </c>
      <c r="O4" s="6">
        <f t="shared" ref="O4:AM4" si="1">O3/$M$3</f>
        <v>1.081998828672673E-2</v>
      </c>
      <c r="P4" s="6">
        <f t="shared" si="1"/>
        <v>5.6259206455315042E-2</v>
      </c>
      <c r="Q4" s="6">
        <f t="shared" si="1"/>
        <v>3.7861085311673638E-3</v>
      </c>
      <c r="R4" s="6">
        <f t="shared" si="1"/>
        <v>6.3890581463449262E-3</v>
      </c>
      <c r="S4" s="5">
        <f t="shared" si="1"/>
        <v>5.9157945799490053E-4</v>
      </c>
      <c r="T4" s="5">
        <f t="shared" si="1"/>
        <v>2.6029496151775628E-3</v>
      </c>
      <c r="U4" s="5">
        <f t="shared" si="1"/>
        <v>4.4960038807612443E-2</v>
      </c>
      <c r="V4" s="6">
        <f t="shared" si="1"/>
        <v>4.4960038807612443E-2</v>
      </c>
      <c r="W4" s="6">
        <f t="shared" si="1"/>
        <v>0</v>
      </c>
      <c r="X4" s="5">
        <f t="shared" si="1"/>
        <v>7.649122391874065E-2</v>
      </c>
      <c r="Y4" s="5">
        <f t="shared" si="1"/>
        <v>0.36737084341483323</v>
      </c>
      <c r="Z4" s="6">
        <f t="shared" si="1"/>
        <v>0</v>
      </c>
      <c r="AA4" s="6">
        <f t="shared" si="1"/>
        <v>0.36737084341483323</v>
      </c>
      <c r="AB4" s="6">
        <f t="shared" si="1"/>
        <v>0</v>
      </c>
      <c r="AC4" s="6">
        <f t="shared" si="1"/>
        <v>0</v>
      </c>
      <c r="AD4" s="5">
        <f t="shared" si="1"/>
        <v>0.12636137222771077</v>
      </c>
      <c r="AE4" s="6">
        <f t="shared" si="1"/>
        <v>0</v>
      </c>
      <c r="AF4" s="6">
        <f t="shared" si="1"/>
        <v>0</v>
      </c>
      <c r="AG4" s="6">
        <f t="shared" si="1"/>
        <v>0.12636137222771077</v>
      </c>
      <c r="AH4" s="5">
        <f t="shared" si="1"/>
        <v>2.7449286850963386E-2</v>
      </c>
      <c r="AI4" s="6">
        <f t="shared" si="1"/>
        <v>8.5187441951265677E-3</v>
      </c>
      <c r="AJ4" s="6">
        <f t="shared" si="1"/>
        <v>0</v>
      </c>
      <c r="AK4" s="6">
        <f t="shared" si="1"/>
        <v>1.8930542655836817E-2</v>
      </c>
      <c r="AL4" s="5">
        <f t="shared" si="1"/>
        <v>0.25035642662344193</v>
      </c>
      <c r="AM4" s="5">
        <f t="shared" si="1"/>
        <v>2.6561917663971035E-2</v>
      </c>
    </row>
    <row r="5" spans="1:39" x14ac:dyDescent="0.3">
      <c r="C5" s="1"/>
      <c r="D5" s="1"/>
      <c r="E5" s="1"/>
      <c r="F5" s="1"/>
      <c r="G5" s="1"/>
      <c r="H5" s="1"/>
      <c r="I5" s="1"/>
      <c r="J5" s="1"/>
      <c r="K5" s="1" t="s">
        <v>39</v>
      </c>
      <c r="L5" s="1"/>
      <c r="M5" s="3">
        <f t="shared" si="0"/>
        <v>1757.78</v>
      </c>
      <c r="N5" s="3">
        <f>SUM(O5:R5)</f>
        <v>516.69000000000005</v>
      </c>
      <c r="O5" s="7">
        <f>20.27</f>
        <v>20.27</v>
      </c>
      <c r="P5">
        <f>85.01+24.01</f>
        <v>109.02000000000001</v>
      </c>
      <c r="Q5">
        <v>5.0199999999999996</v>
      </c>
      <c r="R5">
        <f>380.42+1.96</f>
        <v>382.38</v>
      </c>
      <c r="S5" s="2">
        <f>58.15+97.9</f>
        <v>156.05000000000001</v>
      </c>
      <c r="T5" s="2">
        <f>27.04+73.85</f>
        <v>100.88999999999999</v>
      </c>
      <c r="U5" s="3">
        <f>SUM(V5:W5)</f>
        <v>237.62</v>
      </c>
      <c r="V5">
        <f>148.48+89.14</f>
        <v>237.62</v>
      </c>
      <c r="X5" s="2">
        <f>62.66+16.7+0.48+239.11+36.2+50.82</f>
        <v>405.97</v>
      </c>
      <c r="Y5" s="3">
        <f>SUM(Z5:AC5)</f>
        <v>45.269999999999996</v>
      </c>
      <c r="Z5">
        <v>18.84</v>
      </c>
      <c r="AB5">
        <v>26.43</v>
      </c>
      <c r="AD5" s="3">
        <f>SUM(AE5:AG5)</f>
        <v>208.5</v>
      </c>
      <c r="AE5">
        <v>33.18</v>
      </c>
      <c r="AF5">
        <v>175.32</v>
      </c>
      <c r="AH5" s="3">
        <f>SUM(AI5:AK5)</f>
        <v>86.79</v>
      </c>
      <c r="AI5">
        <v>51.42</v>
      </c>
      <c r="AJ5">
        <v>15</v>
      </c>
      <c r="AK5">
        <f>20.37</f>
        <v>20.37</v>
      </c>
      <c r="AL5" s="2"/>
      <c r="AM5" s="2"/>
    </row>
    <row r="6" spans="1:39" s="8" customFormat="1" x14ac:dyDescent="0.3">
      <c r="C6" s="9"/>
      <c r="D6" s="9"/>
      <c r="E6" s="9"/>
      <c r="F6" s="9"/>
      <c r="G6" s="9"/>
      <c r="H6" s="9"/>
      <c r="I6" s="9"/>
      <c r="J6" s="9"/>
      <c r="K6" s="9"/>
      <c r="L6" s="9"/>
      <c r="M6" s="10">
        <f t="shared" si="0"/>
        <v>1</v>
      </c>
      <c r="N6" s="10">
        <f>N5/$M$5</f>
        <v>0.29394463470969068</v>
      </c>
      <c r="O6" s="11">
        <f t="shared" ref="O6:AM6" si="2">O5/$M$5</f>
        <v>1.1531590984082194E-2</v>
      </c>
      <c r="P6" s="11">
        <f t="shared" si="2"/>
        <v>6.2021413373687273E-2</v>
      </c>
      <c r="Q6" s="11">
        <f t="shared" si="2"/>
        <v>2.8558750241782244E-3</v>
      </c>
      <c r="R6" s="11">
        <f t="shared" si="2"/>
        <v>0.21753575532774294</v>
      </c>
      <c r="S6" s="10">
        <f t="shared" si="2"/>
        <v>8.8776752494623912E-2</v>
      </c>
      <c r="T6" s="10">
        <f t="shared" si="2"/>
        <v>5.7396261193095828E-2</v>
      </c>
      <c r="U6" s="10">
        <f t="shared" si="2"/>
        <v>0.13518187714048402</v>
      </c>
      <c r="V6" s="11">
        <f t="shared" si="2"/>
        <v>0.13518187714048402</v>
      </c>
      <c r="W6" s="11">
        <f t="shared" si="2"/>
        <v>0</v>
      </c>
      <c r="X6" s="10">
        <f t="shared" si="2"/>
        <v>0.23095609234375181</v>
      </c>
      <c r="Y6" s="10">
        <f t="shared" si="2"/>
        <v>2.5754076164252637E-2</v>
      </c>
      <c r="Z6" s="11">
        <f t="shared" si="2"/>
        <v>1.0718064831776446E-2</v>
      </c>
      <c r="AA6" s="11">
        <f t="shared" si="2"/>
        <v>0</v>
      </c>
      <c r="AB6" s="11">
        <f t="shared" si="2"/>
        <v>1.5036011332476191E-2</v>
      </c>
      <c r="AC6" s="11">
        <f t="shared" si="2"/>
        <v>0</v>
      </c>
      <c r="AD6" s="10">
        <f t="shared" si="2"/>
        <v>0.11861552640262149</v>
      </c>
      <c r="AE6" s="11">
        <f t="shared" si="2"/>
        <v>1.8876082331122212E-2</v>
      </c>
      <c r="AF6" s="11">
        <f t="shared" si="2"/>
        <v>9.9739444071499275E-2</v>
      </c>
      <c r="AG6" s="11">
        <f t="shared" si="2"/>
        <v>0</v>
      </c>
      <c r="AH6" s="10">
        <f t="shared" si="2"/>
        <v>4.937477955147971E-2</v>
      </c>
      <c r="AI6" s="11">
        <f t="shared" si="2"/>
        <v>2.9252807518574567E-2</v>
      </c>
      <c r="AJ6" s="11">
        <f t="shared" si="2"/>
        <v>8.5334911081022657E-3</v>
      </c>
      <c r="AK6" s="11">
        <f t="shared" si="2"/>
        <v>1.1588480924802877E-2</v>
      </c>
      <c r="AL6" s="10">
        <f t="shared" si="2"/>
        <v>0</v>
      </c>
      <c r="AM6" s="10">
        <f t="shared" si="2"/>
        <v>0</v>
      </c>
    </row>
    <row r="7" spans="1:39" x14ac:dyDescent="0.3">
      <c r="A7" t="s">
        <v>7</v>
      </c>
      <c r="C7" s="1">
        <v>96334</v>
      </c>
      <c r="D7" s="1">
        <v>95186</v>
      </c>
      <c r="E7" s="1">
        <v>93710</v>
      </c>
      <c r="F7" s="1">
        <v>94377</v>
      </c>
      <c r="G7" s="1">
        <v>92684</v>
      </c>
      <c r="H7" s="1">
        <v>91514</v>
      </c>
      <c r="I7" s="1"/>
      <c r="J7" s="1"/>
      <c r="K7" s="1" t="s">
        <v>40</v>
      </c>
      <c r="L7" s="1">
        <v>3130.8</v>
      </c>
      <c r="M7" s="3">
        <f t="shared" si="0"/>
        <v>2964.3000000000006</v>
      </c>
      <c r="N7" s="3">
        <f>SUM(O7:R7)</f>
        <v>753.69999999999993</v>
      </c>
      <c r="O7" s="1">
        <v>413.4</v>
      </c>
      <c r="P7">
        <v>68.900000000000006</v>
      </c>
      <c r="Q7">
        <v>207.1</v>
      </c>
      <c r="R7">
        <v>64.3</v>
      </c>
      <c r="S7" s="4"/>
      <c r="T7" s="2">
        <v>125</v>
      </c>
      <c r="U7" s="3">
        <f>SUM(V7:W7)</f>
        <v>246.3</v>
      </c>
      <c r="V7">
        <f>212.7+23.3</f>
        <v>236</v>
      </c>
      <c r="W7">
        <v>10.3</v>
      </c>
      <c r="X7" s="2">
        <f>170.9+10</f>
        <v>180.9</v>
      </c>
      <c r="Y7" s="3">
        <f>SUM(Z7:AC7)</f>
        <v>61.2</v>
      </c>
      <c r="Z7">
        <v>61.2</v>
      </c>
      <c r="AD7" s="3">
        <f>SUM(AE7:AG7)</f>
        <v>780</v>
      </c>
      <c r="AE7">
        <v>755.5</v>
      </c>
      <c r="AF7">
        <v>24.5</v>
      </c>
      <c r="AG7">
        <v>0</v>
      </c>
      <c r="AH7" s="3">
        <f>SUM(AI7:AK7)</f>
        <v>577</v>
      </c>
      <c r="AI7">
        <v>17</v>
      </c>
      <c r="AK7">
        <f>242.5+171.8+145.7</f>
        <v>560</v>
      </c>
      <c r="AL7">
        <v>115.8</v>
      </c>
      <c r="AM7" s="2">
        <v>124.4</v>
      </c>
    </row>
    <row r="8" spans="1:39" x14ac:dyDescent="0.3">
      <c r="C8" s="1"/>
      <c r="D8" s="1"/>
      <c r="E8" s="1"/>
      <c r="F8" s="1"/>
      <c r="G8" s="1"/>
      <c r="H8" s="1"/>
      <c r="I8" s="1"/>
      <c r="J8" s="1"/>
      <c r="K8" s="1"/>
      <c r="L8" s="1"/>
      <c r="M8" s="5">
        <f t="shared" si="0"/>
        <v>0.99999999999999978</v>
      </c>
      <c r="N8" s="5">
        <f>N7/$M$7</f>
        <v>0.25425901561920178</v>
      </c>
      <c r="O8" s="5">
        <f t="shared" ref="O8:AM8" si="3">O7/$M$7</f>
        <v>0.13945956886954758</v>
      </c>
      <c r="P8" s="5">
        <f t="shared" si="3"/>
        <v>2.3243261478257934E-2</v>
      </c>
      <c r="Q8" s="5">
        <f t="shared" si="3"/>
        <v>6.9864723543500984E-2</v>
      </c>
      <c r="R8" s="5">
        <f t="shared" si="3"/>
        <v>2.1691461727895281E-2</v>
      </c>
      <c r="S8" s="5">
        <f t="shared" si="3"/>
        <v>0</v>
      </c>
      <c r="T8" s="5">
        <f t="shared" si="3"/>
        <v>4.2168471477245881E-2</v>
      </c>
      <c r="U8" s="5">
        <f>U7/$M$7</f>
        <v>8.3088756198765296E-2</v>
      </c>
      <c r="V8" s="5">
        <f t="shared" si="3"/>
        <v>7.9614074149040231E-2</v>
      </c>
      <c r="W8" s="5">
        <f t="shared" si="3"/>
        <v>3.4746820497250611E-3</v>
      </c>
      <c r="X8" s="5">
        <f t="shared" si="3"/>
        <v>6.1026211921870244E-2</v>
      </c>
      <c r="Y8" s="5">
        <f t="shared" si="3"/>
        <v>2.0645683635259586E-2</v>
      </c>
      <c r="Z8" s="5">
        <f>Z7/$M$7</f>
        <v>2.0645683635259586E-2</v>
      </c>
      <c r="AA8" s="5">
        <f>AA7/$M$7</f>
        <v>0</v>
      </c>
      <c r="AB8" s="5">
        <f t="shared" si="3"/>
        <v>0</v>
      </c>
      <c r="AC8" s="5">
        <f t="shared" si="3"/>
        <v>0</v>
      </c>
      <c r="AD8" s="5">
        <f t="shared" si="3"/>
        <v>0.26313126201801429</v>
      </c>
      <c r="AE8" s="5">
        <f t="shared" si="3"/>
        <v>0.2548662416084741</v>
      </c>
      <c r="AF8" s="5">
        <f t="shared" si="3"/>
        <v>8.2650204095401931E-3</v>
      </c>
      <c r="AG8" s="5">
        <f t="shared" si="3"/>
        <v>0</v>
      </c>
      <c r="AH8" s="5">
        <f t="shared" si="3"/>
        <v>0.19464966433896699</v>
      </c>
      <c r="AI8" s="5">
        <f t="shared" si="3"/>
        <v>5.7349121209054402E-3</v>
      </c>
      <c r="AJ8" s="5">
        <f t="shared" si="3"/>
        <v>0</v>
      </c>
      <c r="AK8" s="5">
        <f t="shared" si="3"/>
        <v>0.18891475221806156</v>
      </c>
      <c r="AL8" s="5">
        <f t="shared" si="3"/>
        <v>3.9064871976520588E-2</v>
      </c>
      <c r="AM8" s="5">
        <f t="shared" si="3"/>
        <v>4.1966062814155103E-2</v>
      </c>
    </row>
    <row r="9" spans="1:39" x14ac:dyDescent="0.3">
      <c r="C9" s="1"/>
      <c r="D9" s="1"/>
      <c r="E9" s="1"/>
      <c r="F9" s="1"/>
      <c r="G9" s="1"/>
      <c r="H9" s="1"/>
      <c r="I9" s="1"/>
      <c r="J9" s="1"/>
      <c r="K9" s="1" t="s">
        <v>41</v>
      </c>
      <c r="L9" s="1">
        <v>3130.8</v>
      </c>
      <c r="M9" s="3">
        <f t="shared" si="0"/>
        <v>3085.9</v>
      </c>
      <c r="N9" s="3">
        <f>SUM(O9:R9)</f>
        <v>735.99999999999989</v>
      </c>
      <c r="O9" s="1">
        <f>396+12.4</f>
        <v>408.4</v>
      </c>
      <c r="P9">
        <v>75.900000000000006</v>
      </c>
      <c r="Q9">
        <v>161.4</v>
      </c>
      <c r="R9">
        <v>90.3</v>
      </c>
      <c r="S9" s="4">
        <v>0</v>
      </c>
      <c r="T9" s="2">
        <v>234.5</v>
      </c>
      <c r="U9" s="3">
        <f>SUM(V9:W9)</f>
        <v>279</v>
      </c>
      <c r="V9">
        <f>227.9+40.3</f>
        <v>268.2</v>
      </c>
      <c r="W9">
        <v>10.8</v>
      </c>
      <c r="X9" s="2">
        <f>170.9+10+24.9</f>
        <v>205.8</v>
      </c>
      <c r="Y9" s="3">
        <f>SUM(Z9:AC9)</f>
        <v>0</v>
      </c>
      <c r="Z9">
        <v>0</v>
      </c>
      <c r="AD9" s="3">
        <f>SUM(AE9:AG9)</f>
        <v>806.7</v>
      </c>
      <c r="AE9">
        <v>806.7</v>
      </c>
      <c r="AH9" s="3">
        <f>SUM(AI9:AK9)</f>
        <v>583.70000000000005</v>
      </c>
      <c r="AI9">
        <v>17</v>
      </c>
      <c r="AK9">
        <f>242.5+178.5+145.7</f>
        <v>566.70000000000005</v>
      </c>
      <c r="AL9" s="2">
        <v>115.8</v>
      </c>
      <c r="AM9" s="2">
        <v>124.4</v>
      </c>
    </row>
    <row r="10" spans="1:39" s="8" customFormat="1" x14ac:dyDescent="0.3">
      <c r="C10" s="9"/>
      <c r="D10" s="9"/>
      <c r="E10" s="9"/>
      <c r="F10" s="9"/>
      <c r="G10" s="9"/>
      <c r="H10" s="9"/>
      <c r="I10" s="9"/>
      <c r="J10" s="9"/>
      <c r="K10" s="9"/>
      <c r="L10" s="9"/>
      <c r="M10" s="10">
        <f t="shared" si="0"/>
        <v>1</v>
      </c>
      <c r="N10" s="10">
        <f>N9/M$9</f>
        <v>0.23850416410123459</v>
      </c>
      <c r="O10" s="10">
        <f t="shared" ref="O10:AM10" si="4">O9/$M$9</f>
        <v>0.13234388671052205</v>
      </c>
      <c r="P10" s="10">
        <f t="shared" si="4"/>
        <v>2.4595741922939823E-2</v>
      </c>
      <c r="Q10" s="10">
        <f t="shared" si="4"/>
        <v>5.2302407725460971E-2</v>
      </c>
      <c r="R10" s="10">
        <f t="shared" si="4"/>
        <v>2.9262127742311805E-2</v>
      </c>
      <c r="S10" s="10">
        <f t="shared" si="4"/>
        <v>0</v>
      </c>
      <c r="T10" s="10">
        <f t="shared" si="4"/>
        <v>7.5990796850189571E-2</v>
      </c>
      <c r="U10" s="10">
        <f t="shared" si="4"/>
        <v>9.0411225250332156E-2</v>
      </c>
      <c r="V10" s="10">
        <f t="shared" si="4"/>
        <v>8.6911435885803162E-2</v>
      </c>
      <c r="W10" s="10">
        <f t="shared" si="4"/>
        <v>3.499789364528987E-3</v>
      </c>
      <c r="X10" s="10">
        <f t="shared" si="4"/>
        <v>6.6690430668524578E-2</v>
      </c>
      <c r="Y10" s="10">
        <f t="shared" si="4"/>
        <v>0</v>
      </c>
      <c r="Z10" s="10">
        <f t="shared" si="4"/>
        <v>0</v>
      </c>
      <c r="AA10" s="10">
        <f t="shared" si="4"/>
        <v>0</v>
      </c>
      <c r="AB10" s="10">
        <f t="shared" si="4"/>
        <v>0</v>
      </c>
      <c r="AC10" s="10">
        <f t="shared" si="4"/>
        <v>0</v>
      </c>
      <c r="AD10" s="10">
        <f t="shared" si="4"/>
        <v>0.26141482225606794</v>
      </c>
      <c r="AE10" s="10">
        <f t="shared" si="4"/>
        <v>0.26141482225606794</v>
      </c>
      <c r="AF10" s="10">
        <f t="shared" si="4"/>
        <v>0</v>
      </c>
      <c r="AG10" s="10">
        <f t="shared" si="4"/>
        <v>0</v>
      </c>
      <c r="AH10" s="10">
        <f t="shared" si="4"/>
        <v>0.18915065296996014</v>
      </c>
      <c r="AI10" s="10">
        <f t="shared" si="4"/>
        <v>5.5089277034252567E-3</v>
      </c>
      <c r="AJ10" s="10">
        <f t="shared" si="4"/>
        <v>0</v>
      </c>
      <c r="AK10" s="10">
        <f t="shared" si="4"/>
        <v>0.18364172526653488</v>
      </c>
      <c r="AL10" s="10">
        <f t="shared" si="4"/>
        <v>3.752551929744969E-2</v>
      </c>
      <c r="AM10" s="10">
        <f t="shared" si="4"/>
        <v>4.0312388606241291E-2</v>
      </c>
    </row>
    <row r="11" spans="1:39" x14ac:dyDescent="0.3">
      <c r="A11" t="s">
        <v>5</v>
      </c>
      <c r="C11" s="1">
        <v>66245</v>
      </c>
      <c r="D11" s="1">
        <v>70292</v>
      </c>
      <c r="E11" s="1">
        <v>74263</v>
      </c>
      <c r="F11" s="1">
        <v>79038</v>
      </c>
      <c r="G11" s="1">
        <v>78849</v>
      </c>
      <c r="H11" s="1">
        <v>78533</v>
      </c>
      <c r="I11" s="1"/>
      <c r="J11" s="1"/>
      <c r="K11" s="1" t="s">
        <v>42</v>
      </c>
      <c r="L11" s="1"/>
      <c r="M11" s="3">
        <f t="shared" si="0"/>
        <v>27549.52</v>
      </c>
      <c r="N11" s="3">
        <f>SUM(O11:R11)</f>
        <v>2588.2800000000002</v>
      </c>
      <c r="O11" s="1">
        <v>1960.91</v>
      </c>
      <c r="P11">
        <v>212.3</v>
      </c>
      <c r="Q11">
        <v>204.03</v>
      </c>
      <c r="R11">
        <v>211.04</v>
      </c>
      <c r="S11" s="2">
        <v>181.48</v>
      </c>
      <c r="T11" s="2">
        <v>8799.5</v>
      </c>
      <c r="U11" s="3">
        <f>SUM(V11:W11)</f>
        <v>790.17000000000007</v>
      </c>
      <c r="V11">
        <f>252+398.1</f>
        <v>650.1</v>
      </c>
      <c r="W11">
        <v>140.07</v>
      </c>
      <c r="X11" s="2">
        <f>94.48+710.8+331.87</f>
        <v>1137.1500000000001</v>
      </c>
      <c r="Y11" s="3">
        <f>SUM(Z11:AC11)</f>
        <v>1004.72</v>
      </c>
      <c r="Z11">
        <v>552.52</v>
      </c>
      <c r="AA11">
        <v>452.2</v>
      </c>
      <c r="AD11" s="3">
        <f>SUM(AE11:AG11)</f>
        <v>1423.2</v>
      </c>
      <c r="AE11">
        <v>769.01</v>
      </c>
      <c r="AF11">
        <v>12</v>
      </c>
      <c r="AG11">
        <f>465.35+176.84</f>
        <v>642.19000000000005</v>
      </c>
      <c r="AH11" s="3">
        <f>SUM(AI11:AK11)</f>
        <v>2696.05</v>
      </c>
      <c r="AI11">
        <v>204.42</v>
      </c>
      <c r="AK11">
        <v>2491.63</v>
      </c>
      <c r="AL11" s="2">
        <v>8797.5</v>
      </c>
      <c r="AM11" s="2">
        <v>131.47</v>
      </c>
    </row>
    <row r="12" spans="1:39" x14ac:dyDescent="0.3">
      <c r="C12" s="1"/>
      <c r="D12" s="1"/>
      <c r="E12" s="1"/>
      <c r="F12" s="1"/>
      <c r="G12" s="1"/>
      <c r="H12" s="1"/>
      <c r="I12" s="1"/>
      <c r="J12" s="1"/>
      <c r="K12" s="1"/>
      <c r="L12" s="1"/>
      <c r="M12" s="5">
        <f t="shared" si="0"/>
        <v>1</v>
      </c>
      <c r="N12" s="5">
        <f>N11/$M$11</f>
        <v>9.3950094230316902E-2</v>
      </c>
      <c r="O12" s="5">
        <f t="shared" ref="O12:AM12" si="5">O11/$M$11</f>
        <v>7.1177646652282878E-2</v>
      </c>
      <c r="P12" s="5">
        <f t="shared" si="5"/>
        <v>7.7061233734743839E-3</v>
      </c>
      <c r="Q12" s="5">
        <f t="shared" si="5"/>
        <v>7.4059366551576938E-3</v>
      </c>
      <c r="R12" s="5">
        <f t="shared" si="5"/>
        <v>7.6603875494019496E-3</v>
      </c>
      <c r="S12" s="5">
        <f t="shared" si="5"/>
        <v>6.5874105973534195E-3</v>
      </c>
      <c r="T12" s="5">
        <f t="shared" si="5"/>
        <v>0.31940665390903361</v>
      </c>
      <c r="U12" s="5">
        <f t="shared" si="5"/>
        <v>2.868180643437708E-2</v>
      </c>
      <c r="V12" s="5">
        <f t="shared" si="5"/>
        <v>2.3597507324991506E-2</v>
      </c>
      <c r="W12" s="5">
        <f t="shared" si="5"/>
        <v>5.0842991093855714E-3</v>
      </c>
      <c r="X12" s="5">
        <f t="shared" si="5"/>
        <v>4.1276581225371624E-2</v>
      </c>
      <c r="Y12" s="5">
        <f t="shared" si="5"/>
        <v>3.6469600922266525E-2</v>
      </c>
      <c r="Z12" s="5">
        <f t="shared" si="5"/>
        <v>2.0055521838493011E-2</v>
      </c>
      <c r="AA12" s="5">
        <f t="shared" si="5"/>
        <v>1.6414079083773511E-2</v>
      </c>
      <c r="AB12" s="5">
        <f t="shared" si="5"/>
        <v>0</v>
      </c>
      <c r="AC12" s="5">
        <f t="shared" si="5"/>
        <v>0</v>
      </c>
      <c r="AD12" s="5">
        <f t="shared" si="5"/>
        <v>5.1659702238006325E-2</v>
      </c>
      <c r="AE12" s="5">
        <f t="shared" si="5"/>
        <v>2.7913734976144775E-2</v>
      </c>
      <c r="AF12" s="5">
        <f t="shared" si="5"/>
        <v>4.3557927688032315E-4</v>
      </c>
      <c r="AG12" s="5">
        <f t="shared" si="5"/>
        <v>2.3310387984981227E-2</v>
      </c>
      <c r="AH12" s="5">
        <f t="shared" si="5"/>
        <v>9.7861959119432934E-2</v>
      </c>
      <c r="AI12" s="5">
        <f t="shared" si="5"/>
        <v>7.4200929816563045E-3</v>
      </c>
      <c r="AJ12" s="5">
        <f t="shared" si="5"/>
        <v>0</v>
      </c>
      <c r="AK12" s="5">
        <f t="shared" si="5"/>
        <v>9.0441866137776633E-2</v>
      </c>
      <c r="AL12" s="5">
        <f t="shared" si="5"/>
        <v>0.31933405736288689</v>
      </c>
      <c r="AM12" s="5">
        <f t="shared" si="5"/>
        <v>4.7721339609546739E-3</v>
      </c>
    </row>
    <row r="13" spans="1:39" x14ac:dyDescent="0.3">
      <c r="C13" s="1"/>
      <c r="D13" s="1"/>
      <c r="E13" s="1"/>
      <c r="F13" s="1"/>
      <c r="G13" s="1"/>
      <c r="H13" s="1"/>
      <c r="I13" s="1"/>
      <c r="J13" s="1"/>
      <c r="K13" s="1"/>
      <c r="L13" s="1"/>
      <c r="M13" s="3"/>
      <c r="N13" s="3"/>
      <c r="O13" s="1"/>
      <c r="S13" s="2"/>
      <c r="T13" s="2"/>
      <c r="U13" s="3"/>
      <c r="X13" s="2"/>
      <c r="Y13" s="3"/>
      <c r="AD13" s="3"/>
      <c r="AH13" s="3"/>
      <c r="AL13" s="2"/>
      <c r="AM13" s="2"/>
    </row>
    <row r="14" spans="1:39" s="8" customFormat="1" x14ac:dyDescent="0.3">
      <c r="C14" s="9"/>
      <c r="D14" s="9"/>
      <c r="E14" s="9"/>
      <c r="F14" s="9"/>
      <c r="G14" s="9"/>
      <c r="H14" s="9"/>
      <c r="I14" s="9"/>
      <c r="J14" s="9"/>
      <c r="K14" s="9"/>
      <c r="L14" s="9"/>
      <c r="M14" s="13"/>
      <c r="N14" s="13"/>
      <c r="O14" s="9"/>
      <c r="S14" s="12"/>
      <c r="T14" s="12"/>
      <c r="U14" s="13">
        <f>SUM(V14:W14)</f>
        <v>0</v>
      </c>
      <c r="X14" s="12"/>
      <c r="Y14" s="13"/>
      <c r="AD14" s="13"/>
      <c r="AH14" s="13"/>
      <c r="AL14" s="12"/>
      <c r="AM14" s="12"/>
    </row>
    <row r="15" spans="1:39" x14ac:dyDescent="0.3">
      <c r="A15" t="s">
        <v>4</v>
      </c>
      <c r="C15" s="1">
        <v>79897</v>
      </c>
      <c r="D15" s="1">
        <v>78457</v>
      </c>
      <c r="E15" s="1">
        <v>76389</v>
      </c>
      <c r="F15" s="1">
        <v>72530</v>
      </c>
      <c r="G15" s="1">
        <v>71772</v>
      </c>
      <c r="H15" s="1">
        <v>70443</v>
      </c>
      <c r="I15" s="1"/>
      <c r="J15" s="1"/>
      <c r="K15" s="1" t="s">
        <v>43</v>
      </c>
      <c r="L15" s="1"/>
      <c r="M15" s="3">
        <f>N15+S15+T15+U15+X15+Y15+AD15+AH15+AL15+AM15</f>
        <v>6714</v>
      </c>
      <c r="N15" s="3">
        <f>SUM(P15:R15)</f>
        <v>2587</v>
      </c>
      <c r="P15" s="1">
        <v>1990</v>
      </c>
      <c r="Q15">
        <v>301</v>
      </c>
      <c r="R15">
        <v>296</v>
      </c>
      <c r="S15" s="2">
        <v>453</v>
      </c>
      <c r="T15" s="2"/>
      <c r="U15" s="3">
        <f>SUM(V15:W15)</f>
        <v>1843</v>
      </c>
      <c r="V15">
        <v>851</v>
      </c>
      <c r="W15">
        <v>992</v>
      </c>
      <c r="X15" s="2"/>
      <c r="Y15" s="3">
        <f>SUM(Z15:AC15)</f>
        <v>0</v>
      </c>
      <c r="AD15" s="3">
        <v>1691</v>
      </c>
      <c r="AH15" s="3">
        <v>140</v>
      </c>
      <c r="AL15" s="2"/>
      <c r="AM15" s="2"/>
    </row>
    <row r="16" spans="1:39" x14ac:dyDescent="0.3">
      <c r="C16" s="1"/>
      <c r="D16" s="1"/>
      <c r="E16" s="1"/>
      <c r="F16" s="1"/>
      <c r="G16" s="1"/>
      <c r="H16" s="1"/>
      <c r="I16" s="1"/>
      <c r="J16" s="1"/>
      <c r="K16" s="1"/>
      <c r="L16" s="1"/>
      <c r="M16" s="5">
        <f>N16+S16+T16+U16+X16+Y16+AD16+AH16+AL16+AM16</f>
        <v>1</v>
      </c>
      <c r="N16" s="5">
        <f>N15/$M$15</f>
        <v>0.3853142686922848</v>
      </c>
      <c r="O16" s="5">
        <f t="shared" ref="O16:AM16" si="6">O15/$M$15</f>
        <v>0</v>
      </c>
      <c r="P16" s="5">
        <f t="shared" si="6"/>
        <v>0.29639559130175752</v>
      </c>
      <c r="Q16" s="5">
        <f t="shared" si="6"/>
        <v>4.483169496574322E-2</v>
      </c>
      <c r="R16" s="5">
        <f t="shared" si="6"/>
        <v>4.4086982424784031E-2</v>
      </c>
      <c r="S16" s="5">
        <f t="shared" si="6"/>
        <v>6.7470956210902586E-2</v>
      </c>
      <c r="T16" s="5">
        <f t="shared" si="6"/>
        <v>0</v>
      </c>
      <c r="U16" s="5">
        <f t="shared" si="6"/>
        <v>0.27450104259755737</v>
      </c>
      <c r="V16" s="5">
        <f t="shared" si="6"/>
        <v>0.12675007447125411</v>
      </c>
      <c r="W16" s="5">
        <f t="shared" si="6"/>
        <v>0.14775096812630326</v>
      </c>
      <c r="X16" s="5">
        <f t="shared" si="6"/>
        <v>0</v>
      </c>
      <c r="Y16" s="5">
        <f t="shared" si="6"/>
        <v>0</v>
      </c>
      <c r="Z16" s="5">
        <f t="shared" si="6"/>
        <v>0</v>
      </c>
      <c r="AA16" s="5">
        <f t="shared" si="6"/>
        <v>0</v>
      </c>
      <c r="AB16" s="5">
        <f t="shared" si="6"/>
        <v>0</v>
      </c>
      <c r="AC16" s="5">
        <f t="shared" si="6"/>
        <v>0</v>
      </c>
      <c r="AD16" s="5">
        <f t="shared" si="6"/>
        <v>0.25186178135239795</v>
      </c>
      <c r="AE16" s="5">
        <f t="shared" si="6"/>
        <v>0</v>
      </c>
      <c r="AF16" s="5">
        <f t="shared" si="6"/>
        <v>0</v>
      </c>
      <c r="AG16" s="5">
        <f t="shared" si="6"/>
        <v>0</v>
      </c>
      <c r="AH16" s="5">
        <f t="shared" si="6"/>
        <v>2.0851951146857312E-2</v>
      </c>
      <c r="AI16" s="5">
        <f t="shared" si="6"/>
        <v>0</v>
      </c>
      <c r="AJ16" s="5">
        <f t="shared" si="6"/>
        <v>0</v>
      </c>
      <c r="AK16" s="5">
        <f t="shared" si="6"/>
        <v>0</v>
      </c>
      <c r="AL16" s="5">
        <f t="shared" si="6"/>
        <v>0</v>
      </c>
      <c r="AM16" s="5">
        <f t="shared" si="6"/>
        <v>0</v>
      </c>
    </row>
    <row r="17" spans="1:40" x14ac:dyDescent="0.3">
      <c r="C17" s="1"/>
      <c r="D17" s="1"/>
      <c r="E17" s="1"/>
      <c r="F17" s="1"/>
      <c r="G17" s="1"/>
      <c r="H17" s="1"/>
      <c r="I17" s="1"/>
      <c r="J17" s="1"/>
      <c r="K17" s="1"/>
      <c r="L17" s="1"/>
      <c r="M17" s="3"/>
      <c r="N17" s="3"/>
      <c r="O17" s="1"/>
      <c r="S17" s="2"/>
      <c r="T17" s="2"/>
      <c r="U17" s="3"/>
      <c r="X17" s="2"/>
      <c r="Y17" s="3"/>
      <c r="AD17" s="3"/>
      <c r="AH17" s="3"/>
      <c r="AL17" s="2"/>
      <c r="AM17" s="2"/>
    </row>
    <row r="18" spans="1:40" s="8" customFormat="1" x14ac:dyDescent="0.3">
      <c r="C18" s="9"/>
      <c r="D18" s="9"/>
      <c r="E18" s="9"/>
      <c r="F18" s="9"/>
      <c r="G18" s="9"/>
      <c r="H18" s="9"/>
      <c r="I18" s="9"/>
      <c r="J18" s="9"/>
      <c r="K18" s="9"/>
      <c r="L18" s="9"/>
      <c r="M18" s="13"/>
      <c r="N18" s="13"/>
      <c r="O18" s="9"/>
      <c r="S18" s="12"/>
      <c r="T18" s="12"/>
      <c r="U18" s="13">
        <f>SUM(V18:W18)</f>
        <v>0</v>
      </c>
      <c r="X18" s="12"/>
      <c r="Y18" s="13"/>
      <c r="AD18" s="13"/>
      <c r="AH18" s="13"/>
      <c r="AL18" s="12"/>
      <c r="AM18" s="12"/>
    </row>
    <row r="19" spans="1:40" s="14" customFormat="1" x14ac:dyDescent="0.3">
      <c r="C19" s="15"/>
      <c r="D19" s="15"/>
      <c r="E19" s="15"/>
      <c r="F19" s="15"/>
      <c r="G19" s="15"/>
      <c r="H19" s="15"/>
      <c r="I19" s="15"/>
      <c r="J19" s="15"/>
      <c r="K19" s="1" t="s">
        <v>79</v>
      </c>
      <c r="L19" s="15">
        <v>7324.39</v>
      </c>
      <c r="M19" s="3">
        <v>1740.89</v>
      </c>
      <c r="N19" s="16">
        <f>SUM(O19:R19)</f>
        <v>510.02000000000004</v>
      </c>
      <c r="O19" s="15">
        <v>485.93</v>
      </c>
      <c r="P19" s="14">
        <v>0.23</v>
      </c>
      <c r="Q19" s="14">
        <v>19.2</v>
      </c>
      <c r="R19" s="14">
        <v>4.66</v>
      </c>
      <c r="S19" s="17">
        <v>379.63</v>
      </c>
      <c r="T19" s="17">
        <f>2.51+3.16</f>
        <v>5.67</v>
      </c>
      <c r="U19" s="3">
        <v>94</v>
      </c>
      <c r="V19" s="14">
        <f>16.03+80.97</f>
        <v>97</v>
      </c>
      <c r="W19" s="14">
        <f>22.82</f>
        <v>22.82</v>
      </c>
      <c r="X19" s="17">
        <v>225.86</v>
      </c>
      <c r="Y19" s="3">
        <f>SUM(Z19:AC19)</f>
        <v>3500.49</v>
      </c>
      <c r="Z19" s="14">
        <v>3401.65</v>
      </c>
      <c r="AA19" s="18">
        <f>3500.49-Z19</f>
        <v>98.839999999999691</v>
      </c>
      <c r="AB19" s="18">
        <v>0</v>
      </c>
      <c r="AC19" s="18"/>
      <c r="AD19" s="3">
        <f>SUM(AE19:AG19)</f>
        <v>58.06</v>
      </c>
      <c r="AE19" s="14">
        <v>0</v>
      </c>
      <c r="AF19" s="14">
        <v>46.51</v>
      </c>
      <c r="AG19" s="18">
        <v>11.55</v>
      </c>
      <c r="AH19" s="3">
        <f>SUM(AI19:AK19)</f>
        <v>194.04</v>
      </c>
      <c r="AI19" s="14">
        <v>194.04</v>
      </c>
      <c r="AJ19" s="18">
        <v>0</v>
      </c>
      <c r="AK19" s="18">
        <v>0</v>
      </c>
      <c r="AL19" s="17">
        <f>1384.29+885.71</f>
        <v>2270</v>
      </c>
      <c r="AM19" s="17">
        <v>52.9</v>
      </c>
    </row>
    <row r="20" spans="1:40" s="14" customFormat="1" x14ac:dyDescent="0.3"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5">
        <f>N20+S20+T20+U20+X20+Y20+AD20+AH20+AL20+AM20</f>
        <v>0.99539620364289716</v>
      </c>
      <c r="N20" s="5">
        <f>N19/$L$19</f>
        <v>6.9633102551884873E-2</v>
      </c>
      <c r="O20" s="5">
        <f t="shared" ref="O20:AM20" si="7">O19/$L$19</f>
        <v>6.6344091453349699E-2</v>
      </c>
      <c r="P20" s="5">
        <f t="shared" si="7"/>
        <v>3.14019324476168E-5</v>
      </c>
      <c r="Q20" s="5">
        <f t="shared" si="7"/>
        <v>2.6213787086706193E-3</v>
      </c>
      <c r="R20" s="5">
        <f t="shared" si="7"/>
        <v>6.3623045741693159E-4</v>
      </c>
      <c r="S20" s="5">
        <f t="shared" si="7"/>
        <v>5.1830937456907672E-2</v>
      </c>
      <c r="T20" s="5">
        <f t="shared" si="7"/>
        <v>7.7412589990429233E-4</v>
      </c>
      <c r="U20" s="5">
        <f t="shared" si="7"/>
        <v>1.2833833261199908E-2</v>
      </c>
      <c r="V20" s="5">
        <f t="shared" si="7"/>
        <v>1.3243423684429692E-2</v>
      </c>
      <c r="W20" s="5">
        <f t="shared" si="7"/>
        <v>3.1156178193678928E-3</v>
      </c>
      <c r="X20" s="5">
        <f t="shared" si="7"/>
        <v>3.0836697663559696E-2</v>
      </c>
      <c r="Y20" s="5">
        <f t="shared" si="7"/>
        <v>0.47792239353720917</v>
      </c>
      <c r="Z20" s="5">
        <f t="shared" si="7"/>
        <v>0.46442775439319861</v>
      </c>
      <c r="AA20" s="5">
        <f t="shared" si="7"/>
        <v>1.3494639144010584E-2</v>
      </c>
      <c r="AB20" s="5">
        <f t="shared" si="7"/>
        <v>0</v>
      </c>
      <c r="AC20" s="5">
        <f t="shared" si="7"/>
        <v>0</v>
      </c>
      <c r="AD20" s="5">
        <f t="shared" si="7"/>
        <v>7.9269399909070934E-3</v>
      </c>
      <c r="AE20" s="5">
        <f t="shared" si="7"/>
        <v>0</v>
      </c>
      <c r="AF20" s="5">
        <f t="shared" si="7"/>
        <v>6.350016861472422E-3</v>
      </c>
      <c r="AG20" s="5">
        <f t="shared" si="7"/>
        <v>1.5769231294346696E-3</v>
      </c>
      <c r="AH20" s="5">
        <f t="shared" si="7"/>
        <v>2.6492308574502448E-2</v>
      </c>
      <c r="AI20" s="5">
        <f t="shared" si="7"/>
        <v>2.6492308574502448E-2</v>
      </c>
      <c r="AJ20" s="5">
        <f t="shared" si="7"/>
        <v>0</v>
      </c>
      <c r="AK20" s="5">
        <f t="shared" si="7"/>
        <v>0</v>
      </c>
      <c r="AL20" s="5">
        <f t="shared" si="7"/>
        <v>0.30992342024387015</v>
      </c>
      <c r="AM20" s="5">
        <f t="shared" si="7"/>
        <v>7.2224444629518632E-3</v>
      </c>
    </row>
    <row r="21" spans="1:40" x14ac:dyDescent="0.3">
      <c r="A21" t="s">
        <v>1</v>
      </c>
      <c r="C21" s="1">
        <v>11125</v>
      </c>
      <c r="D21" s="1">
        <v>12373</v>
      </c>
      <c r="E21" s="1">
        <v>16389</v>
      </c>
      <c r="F21" s="1">
        <v>26856</v>
      </c>
      <c r="G21" s="1">
        <v>32050</v>
      </c>
      <c r="H21" s="1">
        <v>34617</v>
      </c>
      <c r="I21" s="1"/>
      <c r="J21" s="1"/>
      <c r="K21" s="1" t="s">
        <v>80</v>
      </c>
      <c r="L21" s="15">
        <v>7324.39</v>
      </c>
      <c r="M21" s="3">
        <v>2495.44</v>
      </c>
      <c r="N21" s="16">
        <v>957.76</v>
      </c>
      <c r="O21" s="15">
        <f>683.31+26.76</f>
        <v>710.06999999999994</v>
      </c>
      <c r="P21" s="14">
        <v>43.15</v>
      </c>
      <c r="Q21" s="14">
        <v>34.51</v>
      </c>
      <c r="R21" s="14">
        <v>170.03</v>
      </c>
      <c r="S21" s="17">
        <v>409.84</v>
      </c>
      <c r="T21" s="17">
        <f>95.34+11.61</f>
        <v>106.95</v>
      </c>
      <c r="U21" s="3">
        <v>168.99</v>
      </c>
      <c r="V21" s="14">
        <f>42.38+680.27</f>
        <v>722.65</v>
      </c>
      <c r="W21" s="14">
        <v>25.03</v>
      </c>
      <c r="X21" s="17">
        <v>231.15</v>
      </c>
      <c r="Y21" s="3">
        <f>SUM(Z21:AC21)</f>
        <v>2336.21</v>
      </c>
      <c r="Z21" s="14">
        <v>1947.73</v>
      </c>
      <c r="AA21" s="18">
        <f>2336.21-Z21</f>
        <v>388.48</v>
      </c>
      <c r="AB21" s="18">
        <v>0</v>
      </c>
      <c r="AC21" s="18"/>
      <c r="AD21" s="3">
        <f>SUM(AE21:AG21)</f>
        <v>134.57999999999998</v>
      </c>
      <c r="AE21" s="14">
        <v>0</v>
      </c>
      <c r="AF21" s="14">
        <v>114.46</v>
      </c>
      <c r="AG21" s="18">
        <v>20.12</v>
      </c>
      <c r="AH21" s="3">
        <f>SUM(AI21:AK21)</f>
        <v>190.52</v>
      </c>
      <c r="AI21" s="14">
        <v>190.52</v>
      </c>
      <c r="AJ21" s="18">
        <v>0</v>
      </c>
      <c r="AK21" s="18">
        <v>0</v>
      </c>
      <c r="AL21" s="17">
        <f>1267.02+950.87</f>
        <v>2217.89</v>
      </c>
      <c r="AM21" s="17">
        <v>52.68</v>
      </c>
      <c r="AN21" t="s">
        <v>44</v>
      </c>
    </row>
    <row r="22" spans="1:40" x14ac:dyDescent="0.3">
      <c r="C22" s="1"/>
      <c r="D22" s="1"/>
      <c r="E22" s="1"/>
      <c r="F22" s="1"/>
      <c r="G22" s="1"/>
      <c r="H22" s="1"/>
      <c r="I22" s="1"/>
      <c r="J22" s="1"/>
      <c r="K22" s="1"/>
      <c r="L22" s="1"/>
      <c r="M22" s="5">
        <f t="shared" ref="M22:M28" si="8">N22+S22+T22+U22+X22+Y22+AD22+AH22+AL22+AM22</f>
        <v>0.92930196234771756</v>
      </c>
      <c r="N22" s="5">
        <f>N21/$L$21</f>
        <v>0.13076310791751941</v>
      </c>
      <c r="O22" s="5">
        <f>O21/$L$21</f>
        <v>9.6945957274257644E-2</v>
      </c>
      <c r="P22" s="5">
        <f t="shared" ref="P22:AM22" si="9">P21/$L$21</f>
        <v>5.8912755874550643E-3</v>
      </c>
      <c r="Q22" s="5">
        <f t="shared" si="9"/>
        <v>4.7116551685532854E-3</v>
      </c>
      <c r="R22" s="5">
        <f t="shared" si="9"/>
        <v>2.3214219887253407E-2</v>
      </c>
      <c r="S22" s="5">
        <f t="shared" si="9"/>
        <v>5.5955513018831594E-2</v>
      </c>
      <c r="T22" s="5">
        <f t="shared" si="9"/>
        <v>1.4601898588141812E-2</v>
      </c>
      <c r="U22" s="5">
        <f t="shared" si="9"/>
        <v>2.307222854053375E-2</v>
      </c>
      <c r="V22" s="5">
        <f t="shared" si="9"/>
        <v>9.8663506449001209E-2</v>
      </c>
      <c r="W22" s="5">
        <f t="shared" si="9"/>
        <v>3.4173494311471671E-3</v>
      </c>
      <c r="X22" s="5">
        <f t="shared" si="9"/>
        <v>3.1558942109854882E-2</v>
      </c>
      <c r="Y22" s="5">
        <f t="shared" si="9"/>
        <v>0.31896308088455144</v>
      </c>
      <c r="Z22" s="5">
        <f t="shared" si="9"/>
        <v>0.26592385167911592</v>
      </c>
      <c r="AA22" s="5">
        <f t="shared" si="9"/>
        <v>5.3039229205435537E-2</v>
      </c>
      <c r="AB22" s="5">
        <f t="shared" si="9"/>
        <v>0</v>
      </c>
      <c r="AC22" s="5">
        <f t="shared" si="9"/>
        <v>0</v>
      </c>
      <c r="AD22" s="5">
        <f t="shared" si="9"/>
        <v>1.837422638608812E-2</v>
      </c>
      <c r="AE22" s="5">
        <f t="shared" si="9"/>
        <v>0</v>
      </c>
      <c r="AF22" s="5">
        <f t="shared" si="9"/>
        <v>1.5627239947627037E-2</v>
      </c>
      <c r="AG22" s="5">
        <f t="shared" si="9"/>
        <v>2.7469864384610868E-3</v>
      </c>
      <c r="AH22" s="5">
        <f t="shared" si="9"/>
        <v>2.6011722477912835E-2</v>
      </c>
      <c r="AI22" s="5">
        <f t="shared" si="9"/>
        <v>2.6011722477912835E-2</v>
      </c>
      <c r="AJ22" s="5">
        <f t="shared" si="9"/>
        <v>0</v>
      </c>
      <c r="AK22" s="5">
        <f t="shared" si="9"/>
        <v>0</v>
      </c>
      <c r="AL22" s="5">
        <f t="shared" si="9"/>
        <v>0.30280883459236874</v>
      </c>
      <c r="AM22" s="5">
        <f t="shared" si="9"/>
        <v>7.1924078319150122E-3</v>
      </c>
    </row>
    <row r="23" spans="1:40" x14ac:dyDescent="0.3">
      <c r="C23" s="1"/>
      <c r="D23" s="1"/>
      <c r="E23" s="1"/>
      <c r="F23" s="1"/>
      <c r="G23" s="1"/>
      <c r="H23" s="1"/>
      <c r="I23" s="1"/>
      <c r="J23" s="1"/>
      <c r="K23" s="1" t="s">
        <v>81</v>
      </c>
      <c r="L23" s="15">
        <v>7324.39</v>
      </c>
      <c r="M23" s="3">
        <v>2495.44</v>
      </c>
      <c r="N23" s="3">
        <v>1351.67</v>
      </c>
      <c r="O23" s="1">
        <f>968.88+22.33+35.47</f>
        <v>1026.68</v>
      </c>
      <c r="P23">
        <v>89.89</v>
      </c>
      <c r="Q23">
        <v>34.85</v>
      </c>
      <c r="R23">
        <v>192.02</v>
      </c>
      <c r="S23" s="2">
        <v>591.16</v>
      </c>
      <c r="T23" s="2">
        <f>171.83+37.63</f>
        <v>209.46</v>
      </c>
      <c r="U23" s="3">
        <v>705.35</v>
      </c>
      <c r="V23">
        <v>3</v>
      </c>
      <c r="W23">
        <v>25.84</v>
      </c>
      <c r="X23" s="2">
        <v>257.64</v>
      </c>
      <c r="Y23" s="3">
        <f>SUM(Z23:AC23)</f>
        <v>1785.5</v>
      </c>
      <c r="Z23">
        <v>1785.5</v>
      </c>
      <c r="AD23" s="3">
        <f>SUM(AE23:AG23)</f>
        <v>340.99</v>
      </c>
      <c r="AE23">
        <v>109.15</v>
      </c>
      <c r="AF23">
        <f>63.55+109.15</f>
        <v>172.7</v>
      </c>
      <c r="AG23">
        <v>59.14</v>
      </c>
      <c r="AH23" s="3">
        <f>SUM(AI23:AK23)</f>
        <v>284.17</v>
      </c>
      <c r="AI23">
        <f>284.17-AK23</f>
        <v>197.29000000000002</v>
      </c>
      <c r="AJ23">
        <v>0</v>
      </c>
      <c r="AK23">
        <v>86.88</v>
      </c>
      <c r="AL23" s="2">
        <f>1239.88</f>
        <v>1239.8800000000001</v>
      </c>
      <c r="AM23" s="2">
        <v>52.68</v>
      </c>
    </row>
    <row r="24" spans="1:40" s="8" customFormat="1" x14ac:dyDescent="0.3">
      <c r="C24" s="9"/>
      <c r="D24" s="9"/>
      <c r="E24" s="9"/>
      <c r="F24" s="9"/>
      <c r="G24" s="9"/>
      <c r="H24" s="9"/>
      <c r="I24" s="9"/>
      <c r="J24" s="9"/>
      <c r="K24" s="9"/>
      <c r="L24" s="9"/>
      <c r="M24" s="5">
        <f t="shared" si="8"/>
        <v>0.93093076693076149</v>
      </c>
      <c r="N24" s="10">
        <f>N23/$L$23</f>
        <v>0.18454369578900087</v>
      </c>
      <c r="O24" s="10">
        <f t="shared" ref="O24:AM24" si="10">O23/$L$23</f>
        <v>0.14017276524051833</v>
      </c>
      <c r="P24" s="10">
        <f t="shared" si="10"/>
        <v>1.2272694381375104E-2</v>
      </c>
      <c r="Q24" s="10">
        <f t="shared" si="10"/>
        <v>4.7580754165193282E-3</v>
      </c>
      <c r="R24" s="10">
        <f t="shared" si="10"/>
        <v>2.6216517689527728E-2</v>
      </c>
      <c r="S24" s="10">
        <f t="shared" si="10"/>
        <v>8.0711158198839755E-2</v>
      </c>
      <c r="T24" s="10">
        <f t="shared" si="10"/>
        <v>2.8597603349903543E-2</v>
      </c>
      <c r="U24" s="10">
        <f t="shared" si="10"/>
        <v>9.6301535008376127E-2</v>
      </c>
      <c r="V24" s="10">
        <f t="shared" si="10"/>
        <v>4.0959042322978432E-4</v>
      </c>
      <c r="W24" s="10">
        <f t="shared" si="10"/>
        <v>3.5279388454192086E-3</v>
      </c>
      <c r="X24" s="10">
        <f t="shared" si="10"/>
        <v>3.5175625546973871E-2</v>
      </c>
      <c r="Y24" s="10">
        <f t="shared" si="10"/>
        <v>0.24377456689225996</v>
      </c>
      <c r="Z24" s="10">
        <f t="shared" si="10"/>
        <v>0.24377456689225996</v>
      </c>
      <c r="AA24" s="10">
        <f t="shared" si="10"/>
        <v>0</v>
      </c>
      <c r="AB24" s="10">
        <f t="shared" si="10"/>
        <v>0</v>
      </c>
      <c r="AC24" s="10">
        <f t="shared" si="10"/>
        <v>0</v>
      </c>
      <c r="AD24" s="10">
        <f t="shared" si="10"/>
        <v>4.6555412805708053E-2</v>
      </c>
      <c r="AE24" s="10">
        <f t="shared" si="10"/>
        <v>1.490226489851032E-2</v>
      </c>
      <c r="AF24" s="10">
        <f t="shared" si="10"/>
        <v>2.3578755363927915E-2</v>
      </c>
      <c r="AG24" s="10">
        <f t="shared" si="10"/>
        <v>8.0743925432698142E-3</v>
      </c>
      <c r="AH24" s="10">
        <f t="shared" si="10"/>
        <v>3.8797770189735938E-2</v>
      </c>
      <c r="AI24" s="10">
        <f t="shared" si="10"/>
        <v>2.6936031533001385E-2</v>
      </c>
      <c r="AJ24" s="10">
        <f t="shared" si="10"/>
        <v>0</v>
      </c>
      <c r="AK24" s="10">
        <f t="shared" si="10"/>
        <v>1.1861738656734552E-2</v>
      </c>
      <c r="AL24" s="10">
        <f t="shared" si="10"/>
        <v>0.16928099131804833</v>
      </c>
      <c r="AM24" s="10">
        <f t="shared" si="10"/>
        <v>7.1924078319150122E-3</v>
      </c>
    </row>
    <row r="25" spans="1:40" x14ac:dyDescent="0.3">
      <c r="A25" t="s">
        <v>3</v>
      </c>
      <c r="C25" s="1">
        <v>10129</v>
      </c>
      <c r="D25" s="1">
        <v>13501</v>
      </c>
      <c r="E25" s="1">
        <v>31577</v>
      </c>
      <c r="F25" s="1">
        <v>60791</v>
      </c>
      <c r="G25" s="1">
        <v>64904</v>
      </c>
      <c r="H25" s="1">
        <v>68384</v>
      </c>
      <c r="I25" s="1"/>
      <c r="J25" s="1"/>
      <c r="K25" s="1" t="s">
        <v>46</v>
      </c>
      <c r="L25" s="1">
        <v>5033.5200000000004</v>
      </c>
      <c r="M25" s="3">
        <f t="shared" si="8"/>
        <v>5092.7200000000012</v>
      </c>
      <c r="N25" s="3">
        <f>SUM(O25:R25)</f>
        <v>927.92000000000007</v>
      </c>
      <c r="O25" s="1">
        <f>226.26+252.34+4.32+0.4</f>
        <v>483.32</v>
      </c>
      <c r="P25">
        <v>119.22</v>
      </c>
      <c r="Q25">
        <f>14.38+130.09</f>
        <v>144.47</v>
      </c>
      <c r="R25">
        <f>24.11+156.8</f>
        <v>180.91000000000003</v>
      </c>
      <c r="S25" s="2">
        <v>574.48</v>
      </c>
      <c r="T25" s="2">
        <v>23.96</v>
      </c>
      <c r="U25" s="3">
        <f>SUM(V25:W25)</f>
        <v>993.26999999999987</v>
      </c>
      <c r="V25">
        <f>682.43+37.67+110.33+39.42</f>
        <v>869.84999999999991</v>
      </c>
      <c r="W25">
        <f>123.42</f>
        <v>123.42</v>
      </c>
      <c r="X25" s="2">
        <f>106.66+388.42</f>
        <v>495.08000000000004</v>
      </c>
      <c r="Y25" s="3">
        <f>SUM(Z25:AC25)</f>
        <v>918.97</v>
      </c>
      <c r="Z25">
        <v>82.47</v>
      </c>
      <c r="AA25">
        <f>820.64</f>
        <v>820.64</v>
      </c>
      <c r="AB25">
        <v>15.86</v>
      </c>
      <c r="AD25" s="3">
        <f>SUM(AE25:AG25)</f>
        <v>141.09</v>
      </c>
      <c r="AE25">
        <v>48.69</v>
      </c>
      <c r="AF25">
        <v>91.8</v>
      </c>
      <c r="AG25">
        <v>0.6</v>
      </c>
      <c r="AH25" s="3">
        <f>SUM(AI25:AK25)</f>
        <v>970.76</v>
      </c>
      <c r="AI25">
        <f>9.35+21.71</f>
        <v>31.060000000000002</v>
      </c>
      <c r="AK25">
        <f>198.95+740.75</f>
        <v>939.7</v>
      </c>
      <c r="AL25" s="2">
        <v>39.64</v>
      </c>
      <c r="AM25" s="2">
        <v>7.55</v>
      </c>
      <c r="AN25" t="s">
        <v>45</v>
      </c>
    </row>
    <row r="26" spans="1:40" x14ac:dyDescent="0.3">
      <c r="C26" s="1"/>
      <c r="D26" s="1"/>
      <c r="E26" s="1"/>
      <c r="F26" s="1"/>
      <c r="G26" s="1"/>
      <c r="H26" s="1"/>
      <c r="I26" s="1"/>
      <c r="J26" s="1"/>
      <c r="K26" s="1"/>
      <c r="L26" s="1"/>
      <c r="M26" s="5">
        <f t="shared" si="8"/>
        <v>0.99999999999999978</v>
      </c>
      <c r="N26" s="5">
        <f>N25/$M$25</f>
        <v>0.18220518701204855</v>
      </c>
      <c r="O26" s="5">
        <f t="shared" ref="O26:AM26" si="11">O25/$M$25</f>
        <v>9.4904098399283654E-2</v>
      </c>
      <c r="P26" s="5">
        <f t="shared" si="11"/>
        <v>2.340988705446205E-2</v>
      </c>
      <c r="Q26" s="5">
        <f t="shared" si="11"/>
        <v>2.8367944831052948E-2</v>
      </c>
      <c r="R26" s="5">
        <f t="shared" si="11"/>
        <v>3.5523256727249874E-2</v>
      </c>
      <c r="S26" s="5">
        <f t="shared" si="11"/>
        <v>0.11280415966320549</v>
      </c>
      <c r="T26" s="5">
        <f t="shared" si="11"/>
        <v>4.7047550228561542E-3</v>
      </c>
      <c r="U26" s="5">
        <f t="shared" si="11"/>
        <v>0.19503722961403722</v>
      </c>
      <c r="V26" s="5">
        <f t="shared" si="11"/>
        <v>0.17080263591950859</v>
      </c>
      <c r="W26" s="5">
        <f t="shared" si="11"/>
        <v>2.4234593694528656E-2</v>
      </c>
      <c r="X26" s="5">
        <f t="shared" si="11"/>
        <v>9.7213276991470157E-2</v>
      </c>
      <c r="Y26" s="5">
        <f t="shared" si="11"/>
        <v>0.18044777643381135</v>
      </c>
      <c r="Z26" s="5">
        <f t="shared" si="11"/>
        <v>1.6193703953879261E-2</v>
      </c>
      <c r="AA26" s="5">
        <f t="shared" si="11"/>
        <v>0.16113982312006153</v>
      </c>
      <c r="AB26" s="5">
        <f t="shared" si="11"/>
        <v>3.1142493598705595E-3</v>
      </c>
      <c r="AC26" s="5">
        <f t="shared" si="11"/>
        <v>0</v>
      </c>
      <c r="AD26" s="5">
        <f t="shared" si="11"/>
        <v>2.7704252344523155E-2</v>
      </c>
      <c r="AE26" s="5">
        <f t="shared" si="11"/>
        <v>9.560706263057852E-3</v>
      </c>
      <c r="AF26" s="5">
        <f t="shared" si="11"/>
        <v>1.8025730847170074E-2</v>
      </c>
      <c r="AG26" s="5">
        <f t="shared" si="11"/>
        <v>1.1781523429522924E-4</v>
      </c>
      <c r="AH26" s="5">
        <f t="shared" si="11"/>
        <v>0.19061719474072789</v>
      </c>
      <c r="AI26" s="5">
        <f t="shared" si="11"/>
        <v>6.0989019620163679E-3</v>
      </c>
      <c r="AJ26" s="5">
        <f t="shared" si="11"/>
        <v>0</v>
      </c>
      <c r="AK26" s="5">
        <f t="shared" si="11"/>
        <v>0.18451829277871154</v>
      </c>
      <c r="AL26" s="5">
        <f t="shared" si="11"/>
        <v>7.7836598124381455E-3</v>
      </c>
      <c r="AM26" s="5">
        <f t="shared" si="11"/>
        <v>1.4825083648816347E-3</v>
      </c>
    </row>
    <row r="27" spans="1:40" x14ac:dyDescent="0.3">
      <c r="C27" s="1"/>
      <c r="D27" s="1"/>
      <c r="E27" s="1"/>
      <c r="F27" s="1"/>
      <c r="G27" s="1"/>
      <c r="H27" s="1"/>
      <c r="I27" s="1"/>
      <c r="J27" s="1"/>
      <c r="K27" s="1" t="s">
        <v>47</v>
      </c>
      <c r="L27" s="1">
        <v>5039.32</v>
      </c>
      <c r="M27" s="3">
        <f>N27+S27+T27+U27+X27+Y27+AD27+AH27+AL27+AM27</f>
        <v>5039.32</v>
      </c>
      <c r="N27" s="3">
        <f>SUM(O27:R27)</f>
        <v>1051.3600000000001</v>
      </c>
      <c r="O27" s="1">
        <f>210.5+146.55+7.72+45.69</f>
        <v>410.46000000000004</v>
      </c>
      <c r="P27">
        <f>4.48+39.08+34.92+72.2</f>
        <v>150.68</v>
      </c>
      <c r="Q27">
        <f>30.19+120.47+81.58</f>
        <v>232.24</v>
      </c>
      <c r="R27">
        <f>30.89+65.17+6.4+128.81+26.71</f>
        <v>257.98</v>
      </c>
      <c r="S27" s="2">
        <f>127.52+452.19</f>
        <v>579.71</v>
      </c>
      <c r="T27" s="2">
        <f>5.27+8.28</f>
        <v>13.549999999999999</v>
      </c>
      <c r="U27" s="3">
        <f>SUM(V27:W27)</f>
        <v>972.53</v>
      </c>
      <c r="V27">
        <f>22.32+58.7+140.86+488.89+56.36+15.44+75.3+2.43</f>
        <v>860.3</v>
      </c>
      <c r="W27">
        <f>74.73+37.5</f>
        <v>112.23</v>
      </c>
      <c r="X27" s="2">
        <f>104.18+568.94+84.05</f>
        <v>757.17000000000007</v>
      </c>
      <c r="Y27" s="3">
        <f>SUM(Z27:AC27)</f>
        <v>505.26</v>
      </c>
      <c r="Z27">
        <f>84.18+11.05</f>
        <v>95.23</v>
      </c>
      <c r="AA27">
        <v>376.4</v>
      </c>
      <c r="AB27">
        <v>33.630000000000003</v>
      </c>
      <c r="AD27" s="3">
        <f>SUM(AE27:AG27)</f>
        <v>182.61</v>
      </c>
      <c r="AE27">
        <v>11.12</v>
      </c>
      <c r="AF27">
        <f>27.92+143.57</f>
        <v>171.49</v>
      </c>
      <c r="AH27" s="3">
        <f>SUM(AI27:AK27)</f>
        <v>945.34999999999991</v>
      </c>
      <c r="AI27">
        <f>14.58+48.36</f>
        <v>62.94</v>
      </c>
      <c r="AK27">
        <f>50.67+193.82+637.92</f>
        <v>882.41</v>
      </c>
      <c r="AL27" s="2">
        <v>31.78</v>
      </c>
      <c r="AM27" s="2"/>
    </row>
    <row r="28" spans="1:40" s="8" customFormat="1" x14ac:dyDescent="0.3">
      <c r="C28" s="9"/>
      <c r="D28" s="9"/>
      <c r="E28" s="9"/>
      <c r="F28" s="9"/>
      <c r="G28" s="9"/>
      <c r="H28" s="9"/>
      <c r="I28" s="9"/>
      <c r="J28" s="9"/>
      <c r="K28" s="9"/>
      <c r="L28" s="9"/>
      <c r="M28" s="10">
        <f t="shared" si="8"/>
        <v>1.0000000000000002</v>
      </c>
      <c r="N28" s="10">
        <f>N27/$M$27</f>
        <v>0.20863132327377507</v>
      </c>
      <c r="O28" s="10">
        <f t="shared" ref="O28:AM28" si="12">O27/$M$27</f>
        <v>8.145146567394014E-2</v>
      </c>
      <c r="P28" s="10">
        <f t="shared" si="12"/>
        <v>2.9900859639792672E-2</v>
      </c>
      <c r="Q28" s="10">
        <f t="shared" si="12"/>
        <v>4.6085582975480821E-2</v>
      </c>
      <c r="R28" s="10">
        <f t="shared" si="12"/>
        <v>5.1193414984561418E-2</v>
      </c>
      <c r="S28" s="10">
        <f t="shared" si="12"/>
        <v>0.11503734630862895</v>
      </c>
      <c r="T28" s="10">
        <f t="shared" si="12"/>
        <v>2.6888548454950269E-3</v>
      </c>
      <c r="U28" s="10">
        <f t="shared" si="12"/>
        <v>0.19298833969662574</v>
      </c>
      <c r="V28" s="10">
        <f t="shared" si="12"/>
        <v>0.1707174777549352</v>
      </c>
      <c r="W28" s="10">
        <f t="shared" si="12"/>
        <v>2.2270861941690548E-2</v>
      </c>
      <c r="X28" s="10">
        <f t="shared" si="12"/>
        <v>0.15025241500837416</v>
      </c>
      <c r="Y28" s="10">
        <f t="shared" si="12"/>
        <v>0.10026352761880572</v>
      </c>
      <c r="Z28" s="10">
        <f t="shared" si="12"/>
        <v>1.8897390917822249E-2</v>
      </c>
      <c r="AA28" s="10">
        <f t="shared" si="12"/>
        <v>7.4692617257883995E-2</v>
      </c>
      <c r="AB28" s="10">
        <f t="shared" si="12"/>
        <v>6.673519443099467E-3</v>
      </c>
      <c r="AC28" s="10">
        <f t="shared" si="12"/>
        <v>0</v>
      </c>
      <c r="AD28" s="10">
        <f t="shared" si="12"/>
        <v>3.6237031980505312E-2</v>
      </c>
      <c r="AE28" s="10">
        <f t="shared" si="12"/>
        <v>2.2066469285538523E-3</v>
      </c>
      <c r="AF28" s="10">
        <f t="shared" si="12"/>
        <v>3.403038505195146E-2</v>
      </c>
      <c r="AG28" s="10">
        <f t="shared" si="12"/>
        <v>0</v>
      </c>
      <c r="AH28" s="10">
        <f t="shared" si="12"/>
        <v>0.1875947548478763</v>
      </c>
      <c r="AI28" s="10">
        <f t="shared" si="12"/>
        <v>1.2489780367192399E-2</v>
      </c>
      <c r="AJ28" s="10">
        <f t="shared" si="12"/>
        <v>0</v>
      </c>
      <c r="AK28" s="10">
        <f t="shared" si="12"/>
        <v>0.17510497448068391</v>
      </c>
      <c r="AL28" s="10">
        <f t="shared" si="12"/>
        <v>6.3064064199137987E-3</v>
      </c>
      <c r="AM28" s="10">
        <f t="shared" si="12"/>
        <v>0</v>
      </c>
    </row>
    <row r="29" spans="1:40" ht="15" customHeight="1" x14ac:dyDescent="0.3">
      <c r="A29" t="s">
        <v>8</v>
      </c>
      <c r="C29" s="1">
        <v>67397</v>
      </c>
      <c r="D29" s="1">
        <v>68045</v>
      </c>
      <c r="E29" s="1">
        <v>68344</v>
      </c>
      <c r="F29" s="1">
        <v>65367</v>
      </c>
      <c r="G29" s="1">
        <v>64121</v>
      </c>
      <c r="H29" s="1">
        <v>63746</v>
      </c>
      <c r="I29" s="1"/>
      <c r="J29" s="1"/>
      <c r="K29" s="1"/>
      <c r="L29" s="1"/>
      <c r="M29" s="3">
        <f>N29+S29+T29+U29+X29+Y29+AD29+AH29+AL29+AM29</f>
        <v>8703.84</v>
      </c>
      <c r="N29" s="3">
        <f>SUM(O29:R29)</f>
        <v>1738.62</v>
      </c>
      <c r="O29" s="1">
        <v>957.64</v>
      </c>
      <c r="P29">
        <v>502.58</v>
      </c>
      <c r="Q29">
        <v>30.03</v>
      </c>
      <c r="R29">
        <v>248.37</v>
      </c>
      <c r="S29" s="2">
        <v>190.92</v>
      </c>
      <c r="T29" s="2">
        <f>110.15+81.12</f>
        <v>191.27</v>
      </c>
      <c r="U29" s="3">
        <f>SUM(V29:W29)</f>
        <v>2116.4800000000005</v>
      </c>
      <c r="V29">
        <f>1203.4+209.4+662.9</f>
        <v>2075.7000000000003</v>
      </c>
      <c r="W29">
        <v>40.78</v>
      </c>
      <c r="X29" s="2">
        <v>223.41</v>
      </c>
      <c r="Y29" s="3">
        <f>SUM(Z29:AC29)</f>
        <v>35.36</v>
      </c>
      <c r="Z29">
        <v>0</v>
      </c>
      <c r="AA29">
        <v>0</v>
      </c>
      <c r="AB29">
        <v>35.36</v>
      </c>
      <c r="AC29">
        <v>0</v>
      </c>
      <c r="AD29" s="3">
        <f>SUM(AE29:AG29)</f>
        <v>3168.83</v>
      </c>
      <c r="AE29">
        <v>7.35</v>
      </c>
      <c r="AF29">
        <v>520.20000000000005</v>
      </c>
      <c r="AG29">
        <f>1851.05+790.23</f>
        <v>2641.2799999999997</v>
      </c>
      <c r="AH29" s="3">
        <f>SUM(AI29:AK29)</f>
        <v>1001.49</v>
      </c>
      <c r="AI29">
        <v>30.23</v>
      </c>
      <c r="AJ29">
        <v>0</v>
      </c>
      <c r="AK29">
        <v>971.26</v>
      </c>
      <c r="AL29" s="2">
        <v>37.46</v>
      </c>
      <c r="AM29" s="2"/>
    </row>
    <row r="30" spans="1:40" x14ac:dyDescent="0.3">
      <c r="C30" s="1"/>
      <c r="D30" s="1"/>
      <c r="E30" s="1"/>
      <c r="F30" s="1"/>
      <c r="G30" s="1"/>
      <c r="H30" s="1"/>
      <c r="I30" s="1"/>
      <c r="J30" s="1"/>
      <c r="K30" s="1"/>
      <c r="L30" s="1"/>
      <c r="M30" s="10">
        <f>N30+S30+T30+U30+X30+Y30+AD30+AH30+AL30+AM30</f>
        <v>1</v>
      </c>
      <c r="N30" s="10">
        <f>N29/$M$29</f>
        <v>0.19975321237522747</v>
      </c>
      <c r="O30" s="10">
        <f t="shared" ref="O30:AM30" si="13">O29/$M$29</f>
        <v>0.11002500045956727</v>
      </c>
      <c r="P30" s="10">
        <f t="shared" si="13"/>
        <v>5.7742329822239376E-2</v>
      </c>
      <c r="Q30" s="10">
        <f t="shared" si="13"/>
        <v>3.4502012904648982E-3</v>
      </c>
      <c r="R30" s="10">
        <f t="shared" si="13"/>
        <v>2.8535680802955935E-2</v>
      </c>
      <c r="S30" s="10">
        <f t="shared" si="13"/>
        <v>2.1935145866651958E-2</v>
      </c>
      <c r="T30" s="10">
        <f t="shared" si="13"/>
        <v>2.1975358002904465E-2</v>
      </c>
      <c r="U30" s="10">
        <f t="shared" si="13"/>
        <v>0.24316623467343154</v>
      </c>
      <c r="V30" s="10">
        <f t="shared" si="13"/>
        <v>0.2384809463409254</v>
      </c>
      <c r="W30" s="10">
        <f t="shared" si="13"/>
        <v>4.6852883325061122E-3</v>
      </c>
      <c r="X30" s="10">
        <f t="shared" si="13"/>
        <v>2.5667981029063033E-2</v>
      </c>
      <c r="Y30" s="10">
        <f t="shared" si="13"/>
        <v>4.0625746796816116E-3</v>
      </c>
      <c r="Z30" s="10">
        <f t="shared" si="13"/>
        <v>0</v>
      </c>
      <c r="AA30" s="10">
        <f t="shared" si="13"/>
        <v>0</v>
      </c>
      <c r="AB30" s="10">
        <f t="shared" si="13"/>
        <v>4.0625746796816116E-3</v>
      </c>
      <c r="AC30" s="10">
        <f t="shared" si="13"/>
        <v>0</v>
      </c>
      <c r="AD30" s="10">
        <f t="shared" si="13"/>
        <v>0.36407263920292648</v>
      </c>
      <c r="AE30" s="10">
        <f t="shared" si="13"/>
        <v>8.444548613025974E-4</v>
      </c>
      <c r="AF30" s="10">
        <f t="shared" si="13"/>
        <v>5.9766723653008329E-2</v>
      </c>
      <c r="AG30" s="10">
        <f t="shared" si="13"/>
        <v>0.30346146068861557</v>
      </c>
      <c r="AH30" s="10">
        <f t="shared" si="13"/>
        <v>0.11506300667291679</v>
      </c>
      <c r="AI30" s="10">
        <f t="shared" si="13"/>
        <v>3.4731796540377578E-3</v>
      </c>
      <c r="AJ30" s="10">
        <f t="shared" si="13"/>
        <v>0</v>
      </c>
      <c r="AK30" s="10">
        <f t="shared" si="13"/>
        <v>0.11158982701887903</v>
      </c>
      <c r="AL30" s="10">
        <f>AL29/$M$29</f>
        <v>4.3038474971966393E-3</v>
      </c>
      <c r="AM30" s="10">
        <f t="shared" si="13"/>
        <v>0</v>
      </c>
    </row>
    <row r="31" spans="1:40" x14ac:dyDescent="0.3">
      <c r="C31" s="1"/>
      <c r="D31" s="1"/>
      <c r="E31" s="1"/>
      <c r="F31" s="1"/>
      <c r="G31" s="1"/>
      <c r="H31" s="1"/>
      <c r="I31" s="1"/>
      <c r="J31" s="1"/>
      <c r="K31" s="1"/>
      <c r="L31" s="1"/>
      <c r="M31" s="3"/>
      <c r="N31" s="3"/>
      <c r="O31" s="1"/>
      <c r="S31" s="2"/>
      <c r="T31" s="2"/>
      <c r="U31" s="3"/>
      <c r="X31" s="2"/>
      <c r="Y31" s="3"/>
      <c r="AD31" s="3"/>
      <c r="AH31" s="3"/>
      <c r="AL31" s="2"/>
      <c r="AM31" s="2"/>
    </row>
    <row r="32" spans="1:40" s="8" customFormat="1" ht="15" customHeight="1" x14ac:dyDescent="0.3">
      <c r="C32" s="9"/>
      <c r="D32" s="9"/>
      <c r="E32" s="9"/>
      <c r="F32" s="9"/>
      <c r="G32" s="9"/>
      <c r="H32" s="9"/>
      <c r="I32" s="9"/>
      <c r="J32" s="9"/>
      <c r="K32" s="9"/>
      <c r="L32" s="9"/>
      <c r="M32" s="13"/>
      <c r="N32" s="13"/>
      <c r="O32" s="9"/>
      <c r="S32" s="12"/>
      <c r="T32" s="12"/>
      <c r="U32" s="13">
        <f>SUM(V32:W32)</f>
        <v>0</v>
      </c>
      <c r="X32" s="12"/>
      <c r="Y32" s="13"/>
      <c r="AD32" s="13"/>
      <c r="AH32" s="13"/>
      <c r="AL32" s="12"/>
      <c r="AM32" s="12"/>
    </row>
    <row r="33" spans="1:39" x14ac:dyDescent="0.3">
      <c r="A33" t="s">
        <v>6</v>
      </c>
      <c r="C33" s="1">
        <v>39077</v>
      </c>
      <c r="D33" s="1">
        <v>37875</v>
      </c>
      <c r="E33" s="1">
        <v>36791</v>
      </c>
      <c r="F33" s="1">
        <v>34066</v>
      </c>
      <c r="G33" s="1">
        <v>32961</v>
      </c>
      <c r="H33" s="1">
        <v>31676</v>
      </c>
      <c r="I33" s="1"/>
      <c r="J33" s="1"/>
      <c r="K33" s="1" t="s">
        <v>46</v>
      </c>
      <c r="L33" s="1">
        <v>1760</v>
      </c>
      <c r="M33" s="3">
        <f t="shared" ref="M33:M43" si="14">N33+S33+T33+U33+X33+Y33+AD33+AH33+AL33+AM33</f>
        <v>1759.9900000000002</v>
      </c>
      <c r="N33" s="3">
        <v>490.19</v>
      </c>
      <c r="O33" s="1">
        <v>389.54</v>
      </c>
      <c r="P33" s="1">
        <v>0</v>
      </c>
      <c r="Q33" s="1">
        <v>0</v>
      </c>
      <c r="R33">
        <v>100.65</v>
      </c>
      <c r="S33" s="2">
        <v>132.24</v>
      </c>
      <c r="T33" s="2">
        <v>49.48</v>
      </c>
      <c r="U33" s="3">
        <f>SUM(V33:W33)</f>
        <v>387.5</v>
      </c>
      <c r="V33">
        <f>269.23+91.18</f>
        <v>360.41</v>
      </c>
      <c r="W33">
        <v>27.09</v>
      </c>
      <c r="X33" s="2">
        <v>152.94</v>
      </c>
      <c r="Y33" s="3">
        <f>SUM(Z33:AC33)</f>
        <v>137.21</v>
      </c>
      <c r="Z33">
        <v>137.21</v>
      </c>
      <c r="AA33">
        <v>0</v>
      </c>
      <c r="AB33">
        <v>0</v>
      </c>
      <c r="AC33">
        <v>0</v>
      </c>
      <c r="AD33" s="3">
        <f>SUM(AE33:AG33)</f>
        <v>41.79</v>
      </c>
      <c r="AE33">
        <v>0</v>
      </c>
      <c r="AF33">
        <v>40.29</v>
      </c>
      <c r="AG33">
        <v>1.5</v>
      </c>
      <c r="AH33" s="3">
        <f>SUM(AI33:AK33)</f>
        <v>0</v>
      </c>
      <c r="AI33">
        <v>0</v>
      </c>
      <c r="AJ33">
        <v>0</v>
      </c>
      <c r="AK33">
        <v>0</v>
      </c>
      <c r="AL33" s="2">
        <v>0</v>
      </c>
      <c r="AM33" s="2">
        <v>368.64</v>
      </c>
    </row>
    <row r="34" spans="1:39" x14ac:dyDescent="0.3">
      <c r="C34" s="1"/>
      <c r="D34" s="1"/>
      <c r="E34" s="1"/>
      <c r="F34" s="1"/>
      <c r="G34" s="1"/>
      <c r="H34" s="1"/>
      <c r="I34" s="1"/>
      <c r="J34" s="1"/>
      <c r="K34" s="1"/>
      <c r="L34" s="1"/>
      <c r="M34" s="5">
        <f t="shared" si="14"/>
        <v>0.99999999999999989</v>
      </c>
      <c r="N34" s="5">
        <f>N33/$M$33</f>
        <v>0.27851862794674964</v>
      </c>
      <c r="O34" s="5">
        <f>O33/$M$33</f>
        <v>0.2213308030159262</v>
      </c>
      <c r="P34" s="5">
        <f t="shared" ref="P34:AM34" si="15">P33/$M$33</f>
        <v>0</v>
      </c>
      <c r="Q34" s="5">
        <f t="shared" si="15"/>
        <v>0</v>
      </c>
      <c r="R34" s="5">
        <f t="shared" si="15"/>
        <v>5.7187824930823465E-2</v>
      </c>
      <c r="S34" s="5">
        <f t="shared" si="15"/>
        <v>7.5136790549946306E-2</v>
      </c>
      <c r="T34" s="5">
        <f t="shared" si="15"/>
        <v>2.8113796101114204E-2</v>
      </c>
      <c r="U34" s="5">
        <f t="shared" si="15"/>
        <v>0.22017170552105406</v>
      </c>
      <c r="V34" s="5">
        <f t="shared" si="15"/>
        <v>0.20477957261120799</v>
      </c>
      <c r="W34" s="5">
        <f t="shared" si="15"/>
        <v>1.5392132909846076E-2</v>
      </c>
      <c r="X34" s="5">
        <f t="shared" si="15"/>
        <v>8.6898221012619375E-2</v>
      </c>
      <c r="Y34" s="5">
        <f t="shared" si="15"/>
        <v>7.7960670231080859E-2</v>
      </c>
      <c r="Z34" s="5">
        <f t="shared" si="15"/>
        <v>7.7960670231080859E-2</v>
      </c>
      <c r="AA34" s="5">
        <f t="shared" si="15"/>
        <v>0</v>
      </c>
      <c r="AB34" s="5">
        <f t="shared" si="15"/>
        <v>0</v>
      </c>
      <c r="AC34" s="5">
        <f t="shared" si="15"/>
        <v>0</v>
      </c>
      <c r="AD34" s="5">
        <f t="shared" si="15"/>
        <v>2.3744453093483484E-2</v>
      </c>
      <c r="AE34" s="5">
        <f t="shared" si="15"/>
        <v>0</v>
      </c>
      <c r="AF34" s="5">
        <f t="shared" si="15"/>
        <v>2.2892175523724564E-2</v>
      </c>
      <c r="AG34" s="5">
        <f t="shared" si="15"/>
        <v>8.52277569758919E-4</v>
      </c>
      <c r="AH34" s="5">
        <f t="shared" si="15"/>
        <v>0</v>
      </c>
      <c r="AI34" s="5">
        <f t="shared" si="15"/>
        <v>0</v>
      </c>
      <c r="AJ34" s="5">
        <f t="shared" si="15"/>
        <v>0</v>
      </c>
      <c r="AK34" s="5">
        <f t="shared" si="15"/>
        <v>0</v>
      </c>
      <c r="AL34" s="5">
        <f t="shared" si="15"/>
        <v>0</v>
      </c>
      <c r="AM34" s="5">
        <f t="shared" si="15"/>
        <v>0.20945573554395192</v>
      </c>
    </row>
    <row r="35" spans="1:39" x14ac:dyDescent="0.3">
      <c r="C35" s="1"/>
      <c r="D35" s="1"/>
      <c r="E35" s="1"/>
      <c r="F35" s="1"/>
      <c r="G35" s="1"/>
      <c r="H35" s="1"/>
      <c r="I35" s="1"/>
      <c r="J35" s="1"/>
      <c r="K35" s="1" t="s">
        <v>119</v>
      </c>
      <c r="L35" s="1">
        <v>2555.1999999999998</v>
      </c>
      <c r="M35" s="3">
        <f t="shared" si="14"/>
        <v>2665.17</v>
      </c>
      <c r="N35" s="3">
        <v>579.85</v>
      </c>
      <c r="O35" s="1">
        <v>463.48</v>
      </c>
      <c r="P35" s="1">
        <v>0</v>
      </c>
      <c r="Q35" s="1">
        <v>0</v>
      </c>
      <c r="R35">
        <v>116.37</v>
      </c>
      <c r="S35" s="2">
        <v>207.94</v>
      </c>
      <c r="T35" s="2">
        <v>60</v>
      </c>
      <c r="U35" s="3">
        <f>SUM(V35:W35)</f>
        <v>552.23</v>
      </c>
      <c r="V35">
        <f>311.96+213.18</f>
        <v>525.14</v>
      </c>
      <c r="W35">
        <v>27.09</v>
      </c>
      <c r="X35" s="2">
        <v>152.94</v>
      </c>
      <c r="Y35" s="3">
        <f>SUM(Z35:AC35)</f>
        <v>137.21</v>
      </c>
      <c r="Z35">
        <v>137.21</v>
      </c>
      <c r="AA35">
        <v>0</v>
      </c>
      <c r="AB35">
        <v>0</v>
      </c>
      <c r="AC35">
        <v>0</v>
      </c>
      <c r="AD35" s="3">
        <f>SUM(AE35:AG35)</f>
        <v>43.29</v>
      </c>
      <c r="AE35">
        <v>0</v>
      </c>
      <c r="AF35">
        <v>40.29</v>
      </c>
      <c r="AG35">
        <v>3</v>
      </c>
      <c r="AH35" s="3">
        <f>SUM(AI35:AK35)</f>
        <v>5.24</v>
      </c>
      <c r="AI35">
        <v>5.24</v>
      </c>
      <c r="AJ35">
        <v>0</v>
      </c>
      <c r="AK35">
        <v>0</v>
      </c>
      <c r="AL35" s="2">
        <v>0</v>
      </c>
      <c r="AM35" s="2">
        <v>926.47</v>
      </c>
    </row>
    <row r="36" spans="1:39" x14ac:dyDescent="0.3">
      <c r="C36" s="1"/>
      <c r="D36" s="1"/>
      <c r="E36" s="1"/>
      <c r="F36" s="1"/>
      <c r="G36" s="1"/>
      <c r="H36" s="1"/>
      <c r="I36" s="1"/>
      <c r="J36" s="1"/>
      <c r="K36" s="1"/>
      <c r="L36" s="1"/>
      <c r="M36" s="5">
        <f t="shared" si="14"/>
        <v>1</v>
      </c>
      <c r="N36" s="5">
        <f>N35/$M$35</f>
        <v>0.21756585883827298</v>
      </c>
      <c r="O36" s="5">
        <f t="shared" ref="O36:AM36" si="16">O35/$M$35</f>
        <v>0.17390260283584161</v>
      </c>
      <c r="P36" s="5">
        <f t="shared" si="16"/>
        <v>0</v>
      </c>
      <c r="Q36" s="5">
        <f t="shared" si="16"/>
        <v>0</v>
      </c>
      <c r="R36" s="5">
        <f t="shared" si="16"/>
        <v>4.3663256002431365E-2</v>
      </c>
      <c r="S36" s="5">
        <f t="shared" si="16"/>
        <v>7.8021289448703082E-2</v>
      </c>
      <c r="T36" s="5">
        <f t="shared" si="16"/>
        <v>2.2512635216515267E-2</v>
      </c>
      <c r="U36" s="5">
        <f t="shared" si="16"/>
        <v>0.20720254242693711</v>
      </c>
      <c r="V36" s="5">
        <f t="shared" si="16"/>
        <v>0.19703808762668046</v>
      </c>
      <c r="W36" s="5">
        <f t="shared" si="16"/>
        <v>1.0164454800256644E-2</v>
      </c>
      <c r="X36" s="5">
        <f t="shared" si="16"/>
        <v>5.738470716689742E-2</v>
      </c>
      <c r="Y36" s="5">
        <f t="shared" si="16"/>
        <v>5.1482644634301002E-2</v>
      </c>
      <c r="Z36" s="5">
        <f t="shared" si="16"/>
        <v>5.1482644634301002E-2</v>
      </c>
      <c r="AA36" s="5">
        <f t="shared" si="16"/>
        <v>0</v>
      </c>
      <c r="AB36" s="5">
        <f t="shared" si="16"/>
        <v>0</v>
      </c>
      <c r="AC36" s="5">
        <f t="shared" si="16"/>
        <v>0</v>
      </c>
      <c r="AD36" s="5">
        <f t="shared" si="16"/>
        <v>1.6242866308715766E-2</v>
      </c>
      <c r="AE36" s="5">
        <f t="shared" si="16"/>
        <v>0</v>
      </c>
      <c r="AF36" s="5">
        <f t="shared" si="16"/>
        <v>1.5117234547890003E-2</v>
      </c>
      <c r="AG36" s="5">
        <f t="shared" si="16"/>
        <v>1.1256317608257635E-3</v>
      </c>
      <c r="AH36" s="5">
        <f t="shared" si="16"/>
        <v>1.9661034755756668E-3</v>
      </c>
      <c r="AI36" s="5">
        <f t="shared" si="16"/>
        <v>1.9661034755756668E-3</v>
      </c>
      <c r="AJ36" s="5">
        <f t="shared" si="16"/>
        <v>0</v>
      </c>
      <c r="AK36" s="5">
        <f t="shared" si="16"/>
        <v>0</v>
      </c>
      <c r="AL36" s="5">
        <f t="shared" si="16"/>
        <v>0</v>
      </c>
      <c r="AM36" s="5">
        <f t="shared" si="16"/>
        <v>0.34762135248408171</v>
      </c>
    </row>
    <row r="37" spans="1:39" x14ac:dyDescent="0.3">
      <c r="C37" s="1"/>
      <c r="D37" s="1"/>
      <c r="E37" s="1"/>
      <c r="F37" s="1"/>
      <c r="G37" s="1"/>
      <c r="H37" s="1"/>
      <c r="I37" s="1"/>
      <c r="J37" s="1"/>
      <c r="K37" s="1" t="s">
        <v>120</v>
      </c>
      <c r="L37" s="1">
        <v>2555.1999999999998</v>
      </c>
      <c r="M37" s="3">
        <f t="shared" si="14"/>
        <v>2665.1299999999997</v>
      </c>
      <c r="N37" s="3">
        <v>788.44</v>
      </c>
      <c r="O37" s="1">
        <v>672.07</v>
      </c>
      <c r="P37" s="1">
        <v>0</v>
      </c>
      <c r="Q37">
        <v>0</v>
      </c>
      <c r="R37">
        <v>116.37</v>
      </c>
      <c r="S37" s="2">
        <v>313.58999999999997</v>
      </c>
      <c r="T37" s="2">
        <v>76.430000000000007</v>
      </c>
      <c r="U37" s="3">
        <f>SUM(V37:W37)</f>
        <v>749.49</v>
      </c>
      <c r="V37">
        <f>375.96+346.44</f>
        <v>722.4</v>
      </c>
      <c r="W37">
        <v>27.09</v>
      </c>
      <c r="X37" s="2">
        <v>152.94</v>
      </c>
      <c r="Y37" s="3">
        <f>SUM(Z37:AC37)</f>
        <v>187.21</v>
      </c>
      <c r="Z37">
        <v>187.21</v>
      </c>
      <c r="AA37">
        <v>0</v>
      </c>
      <c r="AB37">
        <v>0</v>
      </c>
      <c r="AC37">
        <v>0</v>
      </c>
      <c r="AD37" s="3">
        <f>SUM(AE37:AG37)</f>
        <v>100.45</v>
      </c>
      <c r="AE37">
        <v>0</v>
      </c>
      <c r="AF37">
        <v>70.430000000000007</v>
      </c>
      <c r="AG37">
        <v>30.02</v>
      </c>
      <c r="AH37" s="3">
        <f>SUM(AI37:AK37)</f>
        <v>296.58000000000004</v>
      </c>
      <c r="AI37">
        <v>5.24</v>
      </c>
      <c r="AJ37">
        <v>0</v>
      </c>
      <c r="AK37">
        <f>219.71+71.63</f>
        <v>291.34000000000003</v>
      </c>
      <c r="AL37" s="2">
        <v>0</v>
      </c>
      <c r="AM37" s="2">
        <v>0</v>
      </c>
    </row>
    <row r="38" spans="1:39" s="8" customFormat="1" x14ac:dyDescent="0.3">
      <c r="C38" s="9"/>
      <c r="D38" s="9"/>
      <c r="E38" s="9"/>
      <c r="F38" s="9"/>
      <c r="G38" s="9"/>
      <c r="H38" s="9"/>
      <c r="I38" s="9"/>
      <c r="J38" s="9"/>
      <c r="K38" s="9"/>
      <c r="L38" s="9"/>
      <c r="M38" s="10">
        <f t="shared" si="14"/>
        <v>1.0000000000000002</v>
      </c>
      <c r="N38" s="10">
        <f>N37/$M$37</f>
        <v>0.2958354751925798</v>
      </c>
      <c r="O38" s="10">
        <f t="shared" ref="O38:AM38" si="17">O37/$M$37</f>
        <v>0.25217156386367651</v>
      </c>
      <c r="P38" s="10">
        <f t="shared" si="17"/>
        <v>0</v>
      </c>
      <c r="Q38" s="10">
        <f t="shared" si="17"/>
        <v>0</v>
      </c>
      <c r="R38" s="10">
        <f t="shared" si="17"/>
        <v>4.3663911328903286E-2</v>
      </c>
      <c r="S38" s="10">
        <f t="shared" si="17"/>
        <v>0.11766405391106625</v>
      </c>
      <c r="T38" s="10">
        <f t="shared" si="17"/>
        <v>2.8677775568171165E-2</v>
      </c>
      <c r="U38" s="10">
        <f t="shared" si="17"/>
        <v>0.28122080348800998</v>
      </c>
      <c r="V38" s="10">
        <f t="shared" si="17"/>
        <v>0.27105619613302168</v>
      </c>
      <c r="W38" s="10">
        <f t="shared" si="17"/>
        <v>1.0164607354988314E-2</v>
      </c>
      <c r="X38" s="10">
        <f t="shared" si="17"/>
        <v>5.7385568433809993E-2</v>
      </c>
      <c r="Y38" s="10">
        <f t="shared" si="17"/>
        <v>7.0244228236521308E-2</v>
      </c>
      <c r="Z38" s="10">
        <f t="shared" si="17"/>
        <v>7.0244228236521308E-2</v>
      </c>
      <c r="AA38" s="10">
        <f t="shared" si="17"/>
        <v>0</v>
      </c>
      <c r="AB38" s="10">
        <f t="shared" si="17"/>
        <v>0</v>
      </c>
      <c r="AC38" s="10">
        <f t="shared" si="17"/>
        <v>0</v>
      </c>
      <c r="AD38" s="10">
        <f t="shared" si="17"/>
        <v>3.7690469132837801E-2</v>
      </c>
      <c r="AE38" s="10">
        <f t="shared" si="17"/>
        <v>0</v>
      </c>
      <c r="AF38" s="10">
        <f t="shared" si="17"/>
        <v>2.6426478258096235E-2</v>
      </c>
      <c r="AG38" s="10">
        <f t="shared" si="17"/>
        <v>1.1263990874741571E-2</v>
      </c>
      <c r="AH38" s="10">
        <f t="shared" si="17"/>
        <v>0.11128162603700385</v>
      </c>
      <c r="AI38" s="10">
        <f t="shared" si="17"/>
        <v>1.9661329841321063E-3</v>
      </c>
      <c r="AJ38" s="10">
        <f t="shared" si="17"/>
        <v>0</v>
      </c>
      <c r="AK38" s="10">
        <f t="shared" si="17"/>
        <v>0.10931549305287175</v>
      </c>
      <c r="AL38" s="10">
        <f t="shared" si="17"/>
        <v>0</v>
      </c>
      <c r="AM38" s="10">
        <f t="shared" si="17"/>
        <v>0</v>
      </c>
    </row>
    <row r="39" spans="1:39" x14ac:dyDescent="0.3">
      <c r="A39" t="s">
        <v>2</v>
      </c>
      <c r="C39" s="1">
        <v>15095</v>
      </c>
      <c r="D39" s="1">
        <v>16248</v>
      </c>
      <c r="E39" s="1">
        <v>19603</v>
      </c>
      <c r="F39" s="1">
        <v>23988</v>
      </c>
      <c r="G39" s="1">
        <v>24989</v>
      </c>
      <c r="H39" s="1">
        <v>25828</v>
      </c>
      <c r="I39" s="1"/>
      <c r="J39" s="1"/>
      <c r="K39" s="1" t="s">
        <v>38</v>
      </c>
      <c r="L39" s="1">
        <v>598.14</v>
      </c>
      <c r="M39" s="3">
        <f t="shared" si="14"/>
        <v>560.78000000000009</v>
      </c>
      <c r="N39" s="3">
        <f>SUM(O39:R39)</f>
        <v>38.06</v>
      </c>
      <c r="O39" s="1">
        <v>10.96</v>
      </c>
      <c r="Q39">
        <v>5.62</v>
      </c>
      <c r="R39">
        <v>21.48</v>
      </c>
      <c r="S39" s="2">
        <v>7.05</v>
      </c>
      <c r="T39" s="2">
        <v>13.1</v>
      </c>
      <c r="U39" s="3">
        <f>SUM(V39:W39)</f>
        <v>272.93</v>
      </c>
      <c r="V39">
        <v>270.55</v>
      </c>
      <c r="W39">
        <v>2.38</v>
      </c>
      <c r="X39" s="2">
        <v>15.1</v>
      </c>
      <c r="Y39" s="3">
        <f>SUM(Z39:AC39)</f>
        <v>0</v>
      </c>
      <c r="AD39" s="3">
        <f>SUM(AE39:AG39)</f>
        <v>7.63</v>
      </c>
      <c r="AE39">
        <v>5.46</v>
      </c>
      <c r="AG39">
        <v>2.17</v>
      </c>
      <c r="AH39" s="3">
        <f>SUM(AI39:AK39)</f>
        <v>200.72</v>
      </c>
      <c r="AK39">
        <v>200.72</v>
      </c>
      <c r="AL39" s="2"/>
      <c r="AM39" s="2">
        <v>6.19</v>
      </c>
    </row>
    <row r="40" spans="1:39" x14ac:dyDescent="0.3">
      <c r="C40" s="1"/>
      <c r="D40" s="1"/>
      <c r="E40" s="1"/>
      <c r="F40" s="1"/>
      <c r="G40" s="1"/>
      <c r="H40" s="1"/>
      <c r="I40" s="1"/>
      <c r="J40" s="1"/>
      <c r="K40" s="1"/>
      <c r="L40" s="1"/>
      <c r="M40" s="5">
        <f t="shared" si="14"/>
        <v>0.99999999999999989</v>
      </c>
      <c r="N40" s="5">
        <f>N39/$M$39</f>
        <v>6.7869752844252645E-2</v>
      </c>
      <c r="O40" s="5">
        <f t="shared" ref="O40:AM40" si="18">O39/$M$39</f>
        <v>1.9544206284104283E-2</v>
      </c>
      <c r="P40" s="5">
        <f t="shared" si="18"/>
        <v>0</v>
      </c>
      <c r="Q40" s="5">
        <f t="shared" si="18"/>
        <v>1.0021755412104568E-2</v>
      </c>
      <c r="R40" s="5">
        <f t="shared" si="18"/>
        <v>3.8303791148043789E-2</v>
      </c>
      <c r="S40" s="5">
        <f t="shared" si="18"/>
        <v>1.2571775027640071E-2</v>
      </c>
      <c r="T40" s="5">
        <f t="shared" si="18"/>
        <v>2.3360319554905664E-2</v>
      </c>
      <c r="U40" s="5">
        <f t="shared" si="18"/>
        <v>0.48669710046720632</v>
      </c>
      <c r="V40" s="5">
        <f t="shared" si="18"/>
        <v>0.48245301187631506</v>
      </c>
      <c r="W40" s="5">
        <f t="shared" si="18"/>
        <v>4.2440885908912578E-3</v>
      </c>
      <c r="X40" s="5">
        <f t="shared" si="18"/>
        <v>2.692678055565462E-2</v>
      </c>
      <c r="Y40" s="5">
        <f t="shared" si="18"/>
        <v>0</v>
      </c>
      <c r="Z40" s="5">
        <f t="shared" si="18"/>
        <v>0</v>
      </c>
      <c r="AA40" s="5">
        <f t="shared" si="18"/>
        <v>0</v>
      </c>
      <c r="AB40" s="5">
        <f t="shared" si="18"/>
        <v>0</v>
      </c>
      <c r="AC40" s="5">
        <f t="shared" si="18"/>
        <v>0</v>
      </c>
      <c r="AD40" s="5">
        <f t="shared" si="18"/>
        <v>1.3606048717857267E-2</v>
      </c>
      <c r="AE40" s="5">
        <f t="shared" si="18"/>
        <v>9.7364385320446497E-3</v>
      </c>
      <c r="AF40" s="5">
        <f t="shared" si="18"/>
        <v>0</v>
      </c>
      <c r="AG40" s="5">
        <f t="shared" si="18"/>
        <v>3.8696101858126174E-3</v>
      </c>
      <c r="AH40" s="5">
        <f t="shared" si="18"/>
        <v>0.35793002603516527</v>
      </c>
      <c r="AI40" s="5">
        <f t="shared" si="18"/>
        <v>0</v>
      </c>
      <c r="AJ40" s="5">
        <f t="shared" si="18"/>
        <v>0</v>
      </c>
      <c r="AK40" s="5">
        <f t="shared" si="18"/>
        <v>0.35793002603516527</v>
      </c>
      <c r="AL40" s="5">
        <f t="shared" si="18"/>
        <v>0</v>
      </c>
      <c r="AM40" s="5">
        <f t="shared" si="18"/>
        <v>1.1038196797318021E-2</v>
      </c>
    </row>
    <row r="41" spans="1:39" x14ac:dyDescent="0.3">
      <c r="C41" s="1"/>
      <c r="D41" s="1"/>
      <c r="E41" s="1"/>
      <c r="F41" s="1"/>
      <c r="G41" s="1"/>
      <c r="H41" s="1"/>
      <c r="I41" s="1"/>
      <c r="J41" s="1"/>
      <c r="K41" s="1" t="s">
        <v>41</v>
      </c>
      <c r="L41" s="1">
        <v>598.14</v>
      </c>
      <c r="M41" s="3">
        <f t="shared" si="14"/>
        <v>593.14</v>
      </c>
      <c r="N41" s="3">
        <f>SUM(O41:R41)</f>
        <v>70.19</v>
      </c>
      <c r="O41" s="1">
        <v>13.3</v>
      </c>
      <c r="Q41">
        <v>6.5</v>
      </c>
      <c r="R41">
        <v>50.39</v>
      </c>
      <c r="S41" s="2">
        <v>8.1</v>
      </c>
      <c r="T41" s="2">
        <v>36.130000000000003</v>
      </c>
      <c r="U41" s="3">
        <f>SUM(V41:W41)</f>
        <v>339.63</v>
      </c>
      <c r="V41">
        <v>309.42</v>
      </c>
      <c r="W41">
        <v>30.21</v>
      </c>
      <c r="X41" s="2">
        <v>24.43</v>
      </c>
      <c r="Y41" s="3"/>
      <c r="AD41" s="3">
        <f>SUM(AE41:AG41)</f>
        <v>57.74</v>
      </c>
      <c r="AE41">
        <v>39.090000000000003</v>
      </c>
      <c r="AG41">
        <v>18.649999999999999</v>
      </c>
      <c r="AH41" s="3">
        <f>SUM(AI41:AK41)</f>
        <v>50.73</v>
      </c>
      <c r="AK41">
        <v>50.73</v>
      </c>
      <c r="AL41" s="2"/>
      <c r="AM41" s="2">
        <v>6.19</v>
      </c>
    </row>
    <row r="42" spans="1:39" s="8" customFormat="1" x14ac:dyDescent="0.3">
      <c r="C42" s="9"/>
      <c r="D42" s="9"/>
      <c r="E42" s="9"/>
      <c r="F42" s="9"/>
      <c r="G42" s="9"/>
      <c r="H42" s="9"/>
      <c r="I42" s="9"/>
      <c r="J42" s="9"/>
      <c r="K42" s="9"/>
      <c r="L42" s="9"/>
      <c r="M42" s="5">
        <f t="shared" si="14"/>
        <v>0.99999999999999989</v>
      </c>
      <c r="N42" s="10">
        <f>N41/$M$41</f>
        <v>0.11833631183194523</v>
      </c>
      <c r="O42" s="10">
        <f t="shared" ref="O42:AM42" si="19">O41/$M$41</f>
        <v>2.2423036719830057E-2</v>
      </c>
      <c r="P42" s="10">
        <f t="shared" si="19"/>
        <v>0</v>
      </c>
      <c r="Q42" s="10">
        <f t="shared" si="19"/>
        <v>1.0958626968337997E-2</v>
      </c>
      <c r="R42" s="10">
        <f t="shared" si="19"/>
        <v>8.4954648143777192E-2</v>
      </c>
      <c r="S42" s="10">
        <f t="shared" si="19"/>
        <v>1.3656135145159658E-2</v>
      </c>
      <c r="T42" s="10">
        <f t="shared" si="19"/>
        <v>6.0913106517854136E-2</v>
      </c>
      <c r="U42" s="10">
        <f t="shared" si="19"/>
        <v>0.57259668880871295</v>
      </c>
      <c r="V42" s="10">
        <f t="shared" si="19"/>
        <v>0.52166436254509896</v>
      </c>
      <c r="W42" s="10">
        <f t="shared" si="19"/>
        <v>5.0932326263613992E-2</v>
      </c>
      <c r="X42" s="10">
        <f t="shared" si="19"/>
        <v>4.1187577974845735E-2</v>
      </c>
      <c r="Y42" s="10">
        <f t="shared" si="19"/>
        <v>0</v>
      </c>
      <c r="Z42" s="10">
        <f t="shared" si="19"/>
        <v>0</v>
      </c>
      <c r="AA42" s="10">
        <f t="shared" si="19"/>
        <v>0</v>
      </c>
      <c r="AB42" s="10">
        <f t="shared" si="19"/>
        <v>0</v>
      </c>
      <c r="AC42" s="10">
        <f t="shared" si="19"/>
        <v>0</v>
      </c>
      <c r="AD42" s="10">
        <f t="shared" si="19"/>
        <v>9.7346326331051697E-2</v>
      </c>
      <c r="AE42" s="10">
        <f t="shared" si="19"/>
        <v>6.5903496644974219E-2</v>
      </c>
      <c r="AF42" s="10">
        <f t="shared" si="19"/>
        <v>0</v>
      </c>
      <c r="AG42" s="10">
        <f t="shared" si="19"/>
        <v>3.1442829686077485E-2</v>
      </c>
      <c r="AH42" s="10">
        <f t="shared" si="19"/>
        <v>8.5527868631351783E-2</v>
      </c>
      <c r="AI42" s="10">
        <f t="shared" si="19"/>
        <v>0</v>
      </c>
      <c r="AJ42" s="10">
        <f t="shared" si="19"/>
        <v>0</v>
      </c>
      <c r="AK42" s="10">
        <f t="shared" si="19"/>
        <v>8.5527868631351783E-2</v>
      </c>
      <c r="AL42" s="10">
        <f t="shared" si="19"/>
        <v>0</v>
      </c>
      <c r="AM42" s="10">
        <f t="shared" si="19"/>
        <v>1.0435984759078802E-2</v>
      </c>
    </row>
    <row r="43" spans="1:39" x14ac:dyDescent="0.3">
      <c r="A43" t="s">
        <v>11</v>
      </c>
      <c r="C43" s="1">
        <v>25705</v>
      </c>
      <c r="D43" s="1">
        <v>25978</v>
      </c>
      <c r="E43" s="1">
        <v>26683</v>
      </c>
      <c r="F43" s="1">
        <v>27238</v>
      </c>
      <c r="G43" s="1">
        <v>27089</v>
      </c>
      <c r="H43" s="1">
        <v>27083</v>
      </c>
      <c r="I43" s="1"/>
      <c r="J43" s="1"/>
      <c r="K43" s="1"/>
      <c r="L43" s="1"/>
      <c r="M43" s="3">
        <f t="shared" si="14"/>
        <v>0</v>
      </c>
      <c r="N43" s="3">
        <f>SUM(O43:R43)</f>
        <v>0</v>
      </c>
      <c r="O43" s="1"/>
      <c r="S43" s="2"/>
      <c r="T43" s="2"/>
      <c r="U43" s="3">
        <f>SUM(V43:W43)</f>
        <v>0</v>
      </c>
      <c r="X43" s="2"/>
      <c r="Y43" s="3">
        <f>SUM(Z43:AC43)</f>
        <v>0</v>
      </c>
      <c r="AD43" s="3">
        <f>SUM(AE43:AG43)</f>
        <v>0</v>
      </c>
      <c r="AH43" s="3">
        <f>SUM(AI43:AK43)</f>
        <v>0</v>
      </c>
      <c r="AL43" s="2"/>
      <c r="AM43" s="2"/>
    </row>
    <row r="44" spans="1:39" x14ac:dyDescent="0.3">
      <c r="C44" s="1"/>
      <c r="D44" s="1"/>
      <c r="E44" s="1"/>
      <c r="F44" s="1"/>
      <c r="G44" s="1"/>
      <c r="H44" s="1"/>
      <c r="I44" s="1"/>
      <c r="J44" s="1"/>
      <c r="K44" s="1"/>
      <c r="L44" s="1"/>
      <c r="M44" s="3"/>
      <c r="N44" s="3"/>
      <c r="O44" s="1"/>
      <c r="S44" s="2"/>
      <c r="T44" s="2"/>
      <c r="U44" s="3"/>
      <c r="X44" s="2"/>
      <c r="Y44" s="3"/>
      <c r="AD44" s="3"/>
      <c r="AH44" s="3"/>
      <c r="AL44" s="2"/>
      <c r="AM44" s="2"/>
    </row>
    <row r="45" spans="1:39" x14ac:dyDescent="0.3">
      <c r="C45" s="1"/>
      <c r="D45" s="1"/>
      <c r="E45" s="1"/>
      <c r="F45" s="1"/>
      <c r="G45" s="1"/>
      <c r="H45" s="1"/>
      <c r="I45" s="1"/>
      <c r="J45" s="1"/>
      <c r="K45" s="1"/>
      <c r="L45" s="1"/>
      <c r="M45" s="3"/>
      <c r="N45" s="3"/>
      <c r="O45" s="1"/>
      <c r="S45" s="2"/>
      <c r="T45" s="2"/>
      <c r="U45" s="3"/>
      <c r="X45" s="2"/>
      <c r="Y45" s="3"/>
      <c r="AD45" s="3"/>
      <c r="AH45" s="3"/>
      <c r="AL45" s="2"/>
      <c r="AM45" s="2"/>
    </row>
    <row r="46" spans="1:39" s="8" customFormat="1" x14ac:dyDescent="0.3">
      <c r="C46" s="9"/>
      <c r="D46" s="9"/>
      <c r="E46" s="9"/>
      <c r="F46" s="9"/>
      <c r="G46" s="9"/>
      <c r="H46" s="9"/>
      <c r="I46" s="9"/>
      <c r="J46" s="9"/>
      <c r="K46" s="9"/>
      <c r="L46" s="9"/>
      <c r="M46" s="13"/>
      <c r="N46" s="13"/>
      <c r="O46" s="9"/>
      <c r="S46" s="12"/>
      <c r="T46" s="12"/>
      <c r="U46" s="13">
        <f>SUM(V46:W46)</f>
        <v>0</v>
      </c>
      <c r="X46" s="12"/>
      <c r="Y46" s="13"/>
      <c r="AD46" s="13"/>
      <c r="AH46" s="13"/>
      <c r="AL46" s="12"/>
      <c r="AM46" s="12"/>
    </row>
    <row r="47" spans="1:39" x14ac:dyDescent="0.3">
      <c r="A47" t="s">
        <v>12</v>
      </c>
      <c r="C47" s="1">
        <v>14803</v>
      </c>
      <c r="D47" s="1">
        <v>14763</v>
      </c>
      <c r="E47" s="1">
        <v>14845</v>
      </c>
      <c r="F47" s="1">
        <v>14131</v>
      </c>
      <c r="G47" s="1">
        <v>13918</v>
      </c>
      <c r="H47" s="1">
        <v>13872</v>
      </c>
      <c r="I47" s="1"/>
      <c r="J47" s="1"/>
      <c r="K47" s="1"/>
      <c r="L47" s="1"/>
      <c r="M47" s="3">
        <f>N47+S47+T47+U47+X47+Y47+AD47+AH47+AL47+AM47</f>
        <v>0</v>
      </c>
      <c r="N47" s="3">
        <f>SUM(O47:R47)</f>
        <v>0</v>
      </c>
      <c r="O47" s="1"/>
      <c r="S47" s="2"/>
      <c r="T47" s="2"/>
      <c r="U47" s="3">
        <f>SUM(V47:W47)</f>
        <v>0</v>
      </c>
      <c r="X47" s="2"/>
      <c r="Y47" s="3">
        <f>SUM(Z47:AC47)</f>
        <v>0</v>
      </c>
      <c r="AD47" s="3">
        <f>SUM(AE47:AG47)</f>
        <v>0</v>
      </c>
      <c r="AH47" s="3">
        <f>SUM(AI47:AK47)</f>
        <v>0</v>
      </c>
      <c r="AL47" s="2"/>
      <c r="AM47" s="2"/>
    </row>
    <row r="48" spans="1:39" x14ac:dyDescent="0.3">
      <c r="C48" s="1"/>
      <c r="D48" s="1"/>
      <c r="E48" s="1"/>
      <c r="F48" s="1"/>
      <c r="G48" s="1"/>
      <c r="H48" s="1"/>
      <c r="I48" s="1"/>
      <c r="J48" s="1"/>
      <c r="K48" s="1"/>
      <c r="L48" s="1"/>
      <c r="M48" s="3"/>
      <c r="N48" s="3"/>
      <c r="O48" s="1"/>
      <c r="S48" s="2"/>
      <c r="T48" s="2"/>
      <c r="U48" s="3"/>
      <c r="X48" s="2"/>
      <c r="Y48" s="3"/>
      <c r="AD48" s="3"/>
      <c r="AH48" s="3"/>
      <c r="AL48" s="2"/>
      <c r="AM48" s="2"/>
    </row>
    <row r="49" spans="1:39" x14ac:dyDescent="0.3">
      <c r="C49" s="1"/>
      <c r="D49" s="1"/>
      <c r="E49" s="1"/>
      <c r="F49" s="1"/>
      <c r="G49" s="1"/>
      <c r="H49" s="1"/>
      <c r="I49" s="1"/>
      <c r="J49" s="1"/>
      <c r="K49" s="1"/>
      <c r="L49" s="1"/>
      <c r="M49" s="3"/>
      <c r="N49" s="3"/>
      <c r="O49" s="1"/>
      <c r="S49" s="2"/>
      <c r="T49" s="2"/>
      <c r="U49" s="3"/>
      <c r="X49" s="2"/>
      <c r="Y49" s="3"/>
      <c r="AD49" s="3"/>
      <c r="AH49" s="3"/>
      <c r="AL49" s="2"/>
      <c r="AM49" s="2"/>
    </row>
    <row r="50" spans="1:39" s="8" customFormat="1" x14ac:dyDescent="0.3">
      <c r="C50" s="9"/>
      <c r="D50" s="9"/>
      <c r="E50" s="9"/>
      <c r="F50" s="9"/>
      <c r="G50" s="9"/>
      <c r="H50" s="9"/>
      <c r="I50" s="9"/>
      <c r="J50" s="9"/>
      <c r="K50" s="9"/>
      <c r="L50" s="9"/>
      <c r="M50" s="13"/>
      <c r="N50" s="13"/>
      <c r="O50" s="9"/>
      <c r="S50" s="12"/>
      <c r="T50" s="12"/>
      <c r="U50" s="13"/>
      <c r="X50" s="12"/>
      <c r="Y50" s="13"/>
      <c r="AD50" s="13"/>
      <c r="AH50" s="13"/>
      <c r="AL50" s="12"/>
      <c r="AM50" s="12"/>
    </row>
    <row r="51" spans="1:39" x14ac:dyDescent="0.3">
      <c r="A51" t="s">
        <v>54</v>
      </c>
      <c r="C51" s="1">
        <v>51349</v>
      </c>
      <c r="D51" s="1">
        <v>51760</v>
      </c>
      <c r="E51" s="1">
        <v>54956</v>
      </c>
      <c r="F51" s="1">
        <v>68704</v>
      </c>
      <c r="G51" s="1">
        <v>71393</v>
      </c>
      <c r="H51" s="1">
        <v>72752</v>
      </c>
      <c r="I51" s="1"/>
      <c r="J51" s="1"/>
      <c r="K51" s="1"/>
      <c r="M51" s="3"/>
      <c r="N51" s="3"/>
      <c r="O51" s="1"/>
      <c r="S51" s="2"/>
      <c r="T51" s="2"/>
      <c r="U51" s="3"/>
      <c r="X51" s="2"/>
      <c r="Y51" s="3"/>
      <c r="AD51" s="3"/>
      <c r="AH51" s="3"/>
      <c r="AL51" s="2"/>
      <c r="AM51" s="2"/>
    </row>
    <row r="52" spans="1:39" x14ac:dyDescent="0.3">
      <c r="C52" s="1"/>
      <c r="D52" s="1"/>
      <c r="E52" s="1"/>
      <c r="F52" s="1"/>
      <c r="G52" s="1"/>
      <c r="H52" s="1"/>
      <c r="I52" s="1"/>
      <c r="J52" s="1"/>
      <c r="K52" s="1"/>
      <c r="M52" s="3"/>
      <c r="N52" s="3"/>
      <c r="O52" s="1"/>
      <c r="S52" s="2"/>
      <c r="T52" s="2"/>
      <c r="U52" s="3"/>
      <c r="X52" s="2"/>
      <c r="Y52" s="3"/>
      <c r="AD52" s="3"/>
      <c r="AH52" s="3"/>
      <c r="AL52" s="2"/>
      <c r="AM52" s="2"/>
    </row>
    <row r="53" spans="1:39" x14ac:dyDescent="0.3">
      <c r="C53" s="1"/>
      <c r="D53" s="1"/>
      <c r="E53" s="1"/>
      <c r="F53" s="1"/>
      <c r="G53" s="1"/>
      <c r="H53" s="1"/>
      <c r="I53" s="1"/>
      <c r="J53" s="1"/>
      <c r="K53" s="1"/>
      <c r="M53" s="3"/>
      <c r="N53" s="3"/>
      <c r="O53" s="1"/>
      <c r="S53" s="2"/>
      <c r="T53" s="2"/>
      <c r="U53" s="3"/>
      <c r="X53" s="2"/>
      <c r="Y53" s="3"/>
      <c r="AD53" s="3"/>
      <c r="AH53" s="3"/>
      <c r="AL53" s="2"/>
      <c r="AM53" s="2"/>
    </row>
    <row r="54" spans="1:39" s="8" customFormat="1" x14ac:dyDescent="0.3">
      <c r="C54" s="9"/>
      <c r="D54" s="9"/>
      <c r="E54" s="9"/>
      <c r="F54" s="9"/>
      <c r="G54" s="9"/>
      <c r="H54" s="9"/>
      <c r="I54" s="9"/>
      <c r="J54" s="9"/>
      <c r="K54" s="9"/>
      <c r="M54" s="13"/>
      <c r="N54" s="13"/>
      <c r="O54" s="9"/>
      <c r="S54" s="12"/>
      <c r="T54" s="12"/>
      <c r="U54" s="13"/>
      <c r="X54" s="12"/>
      <c r="Y54" s="13"/>
      <c r="AD54" s="13"/>
      <c r="AH54" s="13"/>
      <c r="AL54" s="12"/>
      <c r="AM54" s="12"/>
    </row>
    <row r="55" spans="1:39" x14ac:dyDescent="0.3">
      <c r="A55" t="s">
        <v>55</v>
      </c>
      <c r="C55" s="1">
        <v>11503</v>
      </c>
      <c r="D55" s="1">
        <v>11665</v>
      </c>
      <c r="E55" s="1">
        <v>12521</v>
      </c>
      <c r="F55" s="1">
        <v>14246</v>
      </c>
      <c r="G55" s="1">
        <v>14260</v>
      </c>
      <c r="H55" s="1">
        <v>15092</v>
      </c>
      <c r="I55" s="1"/>
      <c r="J55" s="1"/>
      <c r="K55" s="1"/>
      <c r="M55" s="3"/>
      <c r="N55" s="3"/>
      <c r="O55" s="1"/>
      <c r="S55" s="2"/>
      <c r="T55" s="2"/>
      <c r="U55" s="3"/>
      <c r="X55" s="2"/>
      <c r="Y55" s="3"/>
      <c r="AD55" s="3"/>
      <c r="AH55" s="3"/>
      <c r="AL55" s="2"/>
      <c r="AM55" s="2"/>
    </row>
    <row r="56" spans="1:39" x14ac:dyDescent="0.3">
      <c r="C56" s="1"/>
      <c r="D56" s="1"/>
      <c r="E56" s="1"/>
      <c r="F56" s="1"/>
      <c r="G56" s="1"/>
      <c r="H56" s="1"/>
      <c r="I56" s="1"/>
      <c r="J56" s="1"/>
      <c r="K56" s="1"/>
      <c r="M56" s="3"/>
      <c r="N56" s="3"/>
      <c r="O56" s="1"/>
      <c r="S56" s="2"/>
      <c r="T56" s="2"/>
      <c r="U56" s="3"/>
      <c r="X56" s="2"/>
      <c r="Y56" s="3"/>
      <c r="AD56" s="3"/>
      <c r="AH56" s="3"/>
      <c r="AL56" s="2"/>
      <c r="AM56" s="2"/>
    </row>
    <row r="57" spans="1:39" s="8" customFormat="1" x14ac:dyDescent="0.3">
      <c r="C57" s="9"/>
      <c r="D57" s="9"/>
      <c r="E57" s="9"/>
      <c r="F57" s="9"/>
      <c r="G57" s="9"/>
      <c r="H57" s="9"/>
      <c r="I57" s="9"/>
      <c r="J57" s="9"/>
      <c r="K57" s="9"/>
      <c r="M57" s="13"/>
      <c r="N57" s="13"/>
      <c r="O57" s="9"/>
      <c r="S57" s="12"/>
      <c r="T57" s="12"/>
      <c r="U57" s="13"/>
      <c r="X57" s="12"/>
      <c r="Y57" s="13"/>
      <c r="AD57" s="13"/>
      <c r="AH57" s="13"/>
      <c r="AL57" s="12"/>
      <c r="AM57" s="12"/>
    </row>
    <row r="58" spans="1:39" x14ac:dyDescent="0.3">
      <c r="A58" t="s">
        <v>122</v>
      </c>
      <c r="C58" s="1">
        <v>7559</v>
      </c>
      <c r="D58" s="1">
        <v>8272</v>
      </c>
      <c r="E58" s="1">
        <v>10379</v>
      </c>
      <c r="F58" s="1">
        <v>15039</v>
      </c>
      <c r="G58" s="1">
        <v>16832</v>
      </c>
      <c r="H58" s="1">
        <v>20443</v>
      </c>
      <c r="I58" s="1"/>
      <c r="J58" s="1"/>
      <c r="K58" s="1" t="s">
        <v>123</v>
      </c>
      <c r="L58">
        <v>6147.8</v>
      </c>
      <c r="M58" s="3">
        <f>N58+S58+T58+U58+X58+Y58+AD58+AH58+AL58+AM58</f>
        <v>6147.75</v>
      </c>
      <c r="N58" s="3">
        <f>SUM(O58:R58)</f>
        <v>309.92</v>
      </c>
      <c r="O58" s="1">
        <f>271.22</f>
        <v>271.22000000000003</v>
      </c>
      <c r="P58">
        <f>0.08+1.17</f>
        <v>1.25</v>
      </c>
      <c r="Q58">
        <v>0</v>
      </c>
      <c r="R58">
        <v>37.450000000000003</v>
      </c>
      <c r="S58" s="2">
        <v>0</v>
      </c>
      <c r="T58" s="2">
        <v>13.33</v>
      </c>
      <c r="U58" s="3">
        <f>SUM(V58:W58)</f>
        <v>299.85000000000002</v>
      </c>
      <c r="V58">
        <v>298.55</v>
      </c>
      <c r="W58">
        <v>1.3</v>
      </c>
      <c r="X58" s="2">
        <v>35.840000000000003</v>
      </c>
      <c r="Y58" s="3">
        <f>SUM(Z58:AC58)</f>
        <v>3216.94</v>
      </c>
      <c r="Z58">
        <v>546.24</v>
      </c>
      <c r="AA58">
        <v>2632.09</v>
      </c>
      <c r="AB58">
        <v>38.61</v>
      </c>
      <c r="AC58">
        <v>0</v>
      </c>
      <c r="AD58" s="3">
        <f>SUM(AE58:AG58)</f>
        <v>38.21</v>
      </c>
      <c r="AE58">
        <v>28.27</v>
      </c>
      <c r="AF58">
        <v>9.94</v>
      </c>
      <c r="AG58">
        <v>0</v>
      </c>
      <c r="AH58" s="3">
        <f>SUM(AI58:AK58)</f>
        <v>6.33</v>
      </c>
      <c r="AI58">
        <v>0</v>
      </c>
      <c r="AJ58">
        <v>0</v>
      </c>
      <c r="AK58">
        <v>6.33</v>
      </c>
      <c r="AL58" s="2">
        <v>19.54</v>
      </c>
      <c r="AM58" s="2">
        <f>20.14+712.39+1475.26</f>
        <v>2207.79</v>
      </c>
    </row>
    <row r="59" spans="1:39" x14ac:dyDescent="0.3">
      <c r="C59" s="1"/>
      <c r="D59" s="1"/>
      <c r="E59" s="1"/>
      <c r="F59" s="1"/>
      <c r="G59" s="1"/>
      <c r="H59" s="1"/>
      <c r="I59" s="1"/>
      <c r="J59" s="1"/>
      <c r="K59" s="1"/>
      <c r="M59" s="5">
        <f>N59+S59+T59+U59+X59+Y59+AD59+AH59+AL59+AM59</f>
        <v>1</v>
      </c>
      <c r="N59" s="5">
        <f>N58/$M$58</f>
        <v>5.0411939327396203E-2</v>
      </c>
      <c r="O59" s="5">
        <f t="shared" ref="O59:AM59" si="20">O58/$M$58</f>
        <v>4.4116953356919203E-2</v>
      </c>
      <c r="P59" s="5">
        <f t="shared" si="20"/>
        <v>2.0332642023504534E-4</v>
      </c>
      <c r="Q59" s="5">
        <f t="shared" si="20"/>
        <v>0</v>
      </c>
      <c r="R59" s="5">
        <f t="shared" si="20"/>
        <v>6.0916595502419589E-3</v>
      </c>
      <c r="S59" s="5">
        <f t="shared" si="20"/>
        <v>0</v>
      </c>
      <c r="T59" s="5">
        <f t="shared" si="20"/>
        <v>2.1682729453865236E-3</v>
      </c>
      <c r="U59" s="5">
        <f t="shared" si="20"/>
        <v>4.8773941685982682E-2</v>
      </c>
      <c r="V59" s="5">
        <f t="shared" si="20"/>
        <v>4.8562482208938232E-2</v>
      </c>
      <c r="W59" s="5">
        <f>W58/$M$58</f>
        <v>2.1145947704444715E-4</v>
      </c>
      <c r="X59" s="5">
        <f t="shared" si="20"/>
        <v>5.8297751209792203E-3</v>
      </c>
      <c r="Y59" s="5">
        <f t="shared" si="20"/>
        <v>0.52327111544874139</v>
      </c>
      <c r="Z59" s="5">
        <f t="shared" si="20"/>
        <v>8.8852019031352938E-2</v>
      </c>
      <c r="AA59" s="5">
        <f t="shared" si="20"/>
        <v>0.4281387499491684</v>
      </c>
      <c r="AB59" s="5">
        <f t="shared" si="20"/>
        <v>6.2803464682200808E-3</v>
      </c>
      <c r="AC59" s="5">
        <f t="shared" si="20"/>
        <v>0</v>
      </c>
      <c r="AD59" s="5">
        <f t="shared" si="20"/>
        <v>6.2152820137448663E-3</v>
      </c>
      <c r="AE59" s="5">
        <f t="shared" si="20"/>
        <v>4.5984303200357858E-3</v>
      </c>
      <c r="AF59" s="5">
        <f t="shared" si="20"/>
        <v>1.6168516937090805E-3</v>
      </c>
      <c r="AG59" s="5">
        <f t="shared" si="20"/>
        <v>0</v>
      </c>
      <c r="AH59" s="5">
        <f t="shared" si="20"/>
        <v>1.0296449920702696E-3</v>
      </c>
      <c r="AI59" s="5">
        <f t="shared" si="20"/>
        <v>0</v>
      </c>
      <c r="AJ59" s="5">
        <f t="shared" si="20"/>
        <v>0</v>
      </c>
      <c r="AK59" s="5">
        <f t="shared" si="20"/>
        <v>1.0296449920702696E-3</v>
      </c>
      <c r="AL59" s="5">
        <f t="shared" si="20"/>
        <v>3.1783986011142285E-3</v>
      </c>
      <c r="AM59" s="5">
        <f t="shared" si="20"/>
        <v>0.35912162986458462</v>
      </c>
    </row>
    <row r="60" spans="1:39" x14ac:dyDescent="0.3">
      <c r="C60" s="1"/>
      <c r="D60" s="1"/>
      <c r="E60" s="1"/>
      <c r="F60" s="1"/>
      <c r="G60" s="1"/>
      <c r="H60" s="1"/>
      <c r="I60" s="1">
        <v>116420</v>
      </c>
      <c r="J60" s="1"/>
      <c r="K60" s="1" t="s">
        <v>48</v>
      </c>
      <c r="L60">
        <v>6147.8</v>
      </c>
      <c r="M60" s="3">
        <f>N60+S60+T60+U60+X60+Y60+AD60+AH60+AL60+AM60</f>
        <v>6147.9400000000005</v>
      </c>
      <c r="N60" s="3">
        <f>SUM(O60:R60)</f>
        <v>1244.72</v>
      </c>
      <c r="O60" s="1">
        <f>702.34</f>
        <v>702.34</v>
      </c>
      <c r="P60">
        <f>64.39+6.49</f>
        <v>70.88</v>
      </c>
      <c r="Q60">
        <v>52.74</v>
      </c>
      <c r="R60">
        <v>418.76</v>
      </c>
      <c r="S60" s="2">
        <v>1.87</v>
      </c>
      <c r="T60" s="2">
        <v>205.98</v>
      </c>
      <c r="U60" s="3">
        <f>SUM(V60:W60)</f>
        <v>453.11</v>
      </c>
      <c r="V60">
        <v>443.43</v>
      </c>
      <c r="W60">
        <v>9.68</v>
      </c>
      <c r="X60" s="2">
        <v>142.08000000000001</v>
      </c>
      <c r="Y60" s="3">
        <f>SUM(Z60:AC60)</f>
        <v>3221.35</v>
      </c>
      <c r="Z60">
        <v>546.24</v>
      </c>
      <c r="AA60">
        <v>2632.09</v>
      </c>
      <c r="AB60">
        <v>39.04</v>
      </c>
      <c r="AC60">
        <v>3.98</v>
      </c>
      <c r="AD60" s="3">
        <f>SUM(AE60:AG60)</f>
        <v>178.72</v>
      </c>
      <c r="AE60">
        <v>99.98</v>
      </c>
      <c r="AF60">
        <v>78.739999999999995</v>
      </c>
      <c r="AG60">
        <v>0</v>
      </c>
      <c r="AH60" s="3">
        <f>SUM(AI60:AK60)</f>
        <v>24.77</v>
      </c>
      <c r="AI60">
        <v>7.96</v>
      </c>
      <c r="AJ60">
        <v>0</v>
      </c>
      <c r="AK60">
        <v>16.809999999999999</v>
      </c>
      <c r="AL60" s="2">
        <v>19.54</v>
      </c>
      <c r="AM60" s="2">
        <f>20.14+635.66</f>
        <v>655.8</v>
      </c>
    </row>
    <row r="61" spans="1:39" x14ac:dyDescent="0.3">
      <c r="C61" s="1"/>
      <c r="D61" s="1"/>
      <c r="E61" s="1"/>
      <c r="F61" s="1"/>
      <c r="G61" s="1"/>
      <c r="H61" s="1"/>
      <c r="I61" s="1"/>
      <c r="J61" s="1"/>
      <c r="K61" s="1"/>
      <c r="M61" s="5">
        <f>N61+S61+T61+U61+X61+Y61+AD61+AH61+AL61+AM61</f>
        <v>0.99999999999999989</v>
      </c>
      <c r="N61" s="5">
        <f>N60/$M$60</f>
        <v>0.20246131224442657</v>
      </c>
      <c r="O61" s="5">
        <f t="shared" ref="O61:AM61" si="21">O60/$M$60</f>
        <v>0.11423989173609371</v>
      </c>
      <c r="P61" s="5">
        <f t="shared" si="21"/>
        <v>1.1529065020153091E-2</v>
      </c>
      <c r="Q61" s="5">
        <f t="shared" si="21"/>
        <v>8.5784831992504803E-3</v>
      </c>
      <c r="R61" s="5">
        <f t="shared" si="21"/>
        <v>6.8113872288929289E-2</v>
      </c>
      <c r="S61" s="5">
        <f t="shared" si="21"/>
        <v>3.0416692420550621E-4</v>
      </c>
      <c r="T61" s="5">
        <f t="shared" si="21"/>
        <v>3.3503905373181909E-2</v>
      </c>
      <c r="U61" s="5">
        <f t="shared" si="21"/>
        <v>7.3701109639976961E-2</v>
      </c>
      <c r="V61" s="5">
        <f t="shared" si="21"/>
        <v>7.212659850291317E-2</v>
      </c>
      <c r="W61" s="5">
        <f>W60/$M$60</f>
        <v>1.5745111370637967E-3</v>
      </c>
      <c r="X61" s="5">
        <f t="shared" si="21"/>
        <v>2.3110179995250443E-2</v>
      </c>
      <c r="Y61" s="5">
        <f t="shared" si="21"/>
        <v>0.52397225737401465</v>
      </c>
      <c r="Z61" s="5">
        <f t="shared" si="21"/>
        <v>8.8849273089847969E-2</v>
      </c>
      <c r="AA61" s="5">
        <f t="shared" si="21"/>
        <v>0.42812551846634805</v>
      </c>
      <c r="AB61" s="5">
        <f t="shared" si="21"/>
        <v>6.3500945031994454E-3</v>
      </c>
      <c r="AC61" s="5">
        <f t="shared" si="21"/>
        <v>6.4737131461920568E-4</v>
      </c>
      <c r="AD61" s="5">
        <f t="shared" si="21"/>
        <v>2.906989983636795E-2</v>
      </c>
      <c r="AE61" s="5">
        <f t="shared" si="21"/>
        <v>1.6262357797896532E-2</v>
      </c>
      <c r="AF61" s="5">
        <f t="shared" si="21"/>
        <v>1.280754203847142E-2</v>
      </c>
      <c r="AG61" s="5">
        <f t="shared" si="21"/>
        <v>0</v>
      </c>
      <c r="AH61" s="5">
        <f t="shared" si="21"/>
        <v>4.0289918249039516E-3</v>
      </c>
      <c r="AI61" s="5">
        <f t="shared" si="21"/>
        <v>1.2947426292384114E-3</v>
      </c>
      <c r="AJ61" s="5">
        <f t="shared" si="21"/>
        <v>0</v>
      </c>
      <c r="AK61" s="5">
        <f t="shared" si="21"/>
        <v>2.7342491956655396E-3</v>
      </c>
      <c r="AL61" s="5">
        <f t="shared" si="21"/>
        <v>3.1783003737837386E-3</v>
      </c>
      <c r="AM61" s="5">
        <f t="shared" si="21"/>
        <v>0.10666987641388821</v>
      </c>
    </row>
    <row r="62" spans="1:39" x14ac:dyDescent="0.3">
      <c r="C62" s="1"/>
      <c r="D62" s="1"/>
      <c r="E62" s="1"/>
      <c r="F62" s="1"/>
      <c r="G62" s="1"/>
      <c r="H62" s="1"/>
      <c r="I62" s="1"/>
      <c r="J62" s="1"/>
      <c r="K62" s="1"/>
      <c r="M62" s="3"/>
      <c r="N62" s="3"/>
      <c r="O62" s="1"/>
      <c r="S62" s="2"/>
      <c r="T62" s="2"/>
      <c r="U62" s="3"/>
      <c r="X62" s="2"/>
      <c r="Y62" s="3"/>
      <c r="AD62" s="3"/>
      <c r="AH62" s="3"/>
      <c r="AL62" s="2"/>
      <c r="AM62" s="2"/>
    </row>
    <row r="63" spans="1:39" x14ac:dyDescent="0.3">
      <c r="A63" t="s">
        <v>10</v>
      </c>
      <c r="C63" s="1">
        <v>5191690</v>
      </c>
      <c r="D63" s="1">
        <v>5281579</v>
      </c>
      <c r="E63" s="1">
        <v>5383890</v>
      </c>
      <c r="F63" s="1">
        <v>5601911</v>
      </c>
      <c r="G63" s="1">
        <v>5600044</v>
      </c>
      <c r="H63" s="1">
        <v>5652922</v>
      </c>
      <c r="I63" s="1"/>
      <c r="J63" s="1"/>
      <c r="K63" s="1" t="s">
        <v>48</v>
      </c>
      <c r="L63" s="1"/>
      <c r="M63" s="3">
        <f>N63+S63+T63+U63+X63+Y63+AD63+AH63+AL63+AM63</f>
        <v>144923.24000000002</v>
      </c>
      <c r="N63" s="3">
        <f>SUM(O63:R63)</f>
        <v>29418.42</v>
      </c>
      <c r="O63" s="1">
        <v>8015.13</v>
      </c>
      <c r="P63">
        <v>3252.29</v>
      </c>
      <c r="Q63" s="1">
        <v>8018.37</v>
      </c>
      <c r="R63" s="1">
        <v>10132.629999999999</v>
      </c>
      <c r="S63" s="3">
        <v>179.44</v>
      </c>
      <c r="T63" s="3">
        <v>11486.38</v>
      </c>
      <c r="U63" s="3">
        <f>SUM(V63:W63)</f>
        <v>16620.45</v>
      </c>
      <c r="V63" s="1">
        <v>14012.41</v>
      </c>
      <c r="W63" s="1">
        <v>2608.04</v>
      </c>
      <c r="X63" s="3">
        <v>23071.41</v>
      </c>
      <c r="Y63" s="3">
        <f>SUM(Z63:AC63)</f>
        <v>8539.1299999999992</v>
      </c>
      <c r="Z63" s="1">
        <v>1856.77</v>
      </c>
      <c r="AA63" s="1">
        <v>4968.6899999999996</v>
      </c>
      <c r="AB63" s="1">
        <v>18.239999999999998</v>
      </c>
      <c r="AC63" s="1">
        <v>1695.43</v>
      </c>
      <c r="AD63" s="3">
        <f>SUM(AE63:AG63)</f>
        <v>42581.85</v>
      </c>
      <c r="AE63" s="1">
        <v>4242.54</v>
      </c>
      <c r="AF63" s="1">
        <v>38204.61</v>
      </c>
      <c r="AG63" s="1">
        <v>134.69999999999999</v>
      </c>
      <c r="AH63" s="3">
        <f>SUM(AI63:AK63)</f>
        <v>4999.7700000000004</v>
      </c>
      <c r="AI63" s="1">
        <v>1887.76</v>
      </c>
      <c r="AJ63" s="1">
        <v>173.04</v>
      </c>
      <c r="AK63" s="1">
        <v>2938.97</v>
      </c>
      <c r="AL63" s="3">
        <v>2397.54</v>
      </c>
      <c r="AM63" s="3">
        <v>5628.85</v>
      </c>
    </row>
    <row r="64" spans="1:39" x14ac:dyDescent="0.3">
      <c r="L64" s="1"/>
      <c r="M64" s="19">
        <f>SUM(N64,S64,T64,U64,X64,Y64,AD64,AH64,AL64,AM64)</f>
        <v>0.99999999999999978</v>
      </c>
      <c r="N64" s="5">
        <f>N63/$M$63</f>
        <v>0.20299311552791666</v>
      </c>
      <c r="O64" s="5">
        <f>O63/$M$63</f>
        <v>5.5306036492145765E-2</v>
      </c>
      <c r="P64" s="5">
        <f t="shared" ref="P64:AM64" si="22">P63/$M$63</f>
        <v>2.2441466254825654E-2</v>
      </c>
      <c r="Q64" s="5">
        <f t="shared" si="22"/>
        <v>5.5328393154886676E-2</v>
      </c>
      <c r="R64" s="5">
        <f t="shared" si="22"/>
        <v>6.9917219626058583E-2</v>
      </c>
      <c r="S64" s="5">
        <f t="shared" si="22"/>
        <v>1.2381727043916488E-3</v>
      </c>
      <c r="T64" s="5">
        <f t="shared" si="22"/>
        <v>7.9258371535165767E-2</v>
      </c>
      <c r="U64" s="5">
        <f>U63/$M$63</f>
        <v>0.11468450470745754</v>
      </c>
      <c r="V64" s="5">
        <f t="shared" si="22"/>
        <v>9.6688495233752697E-2</v>
      </c>
      <c r="W64" s="5">
        <f t="shared" si="22"/>
        <v>1.7996009473704836E-2</v>
      </c>
      <c r="X64" s="5">
        <f t="shared" si="22"/>
        <v>0.15919744824915588</v>
      </c>
      <c r="Y64" s="5">
        <f t="shared" si="22"/>
        <v>5.8921743676169522E-2</v>
      </c>
      <c r="Z64" s="5">
        <f t="shared" si="22"/>
        <v>1.281209280167901E-2</v>
      </c>
      <c r="AA64" s="5">
        <f t="shared" si="22"/>
        <v>3.4284977343868372E-2</v>
      </c>
      <c r="AB64" s="5">
        <f t="shared" si="22"/>
        <v>1.2585973098586532E-4</v>
      </c>
      <c r="AC64" s="5">
        <f t="shared" si="22"/>
        <v>1.1698813799636274E-2</v>
      </c>
      <c r="AD64" s="5">
        <f t="shared" si="22"/>
        <v>0.29382347510309592</v>
      </c>
      <c r="AE64" s="5">
        <f t="shared" si="22"/>
        <v>2.9274393810130105E-2</v>
      </c>
      <c r="AF64" s="5">
        <f t="shared" si="22"/>
        <v>0.2636196237401261</v>
      </c>
      <c r="AG64" s="5">
        <f t="shared" si="22"/>
        <v>9.2945755283969618E-4</v>
      </c>
      <c r="AH64" s="5">
        <f t="shared" si="22"/>
        <v>3.4499435701271924E-2</v>
      </c>
      <c r="AI64" s="5">
        <f t="shared" si="22"/>
        <v>1.3025930140673088E-2</v>
      </c>
      <c r="AJ64" s="5">
        <f t="shared" si="22"/>
        <v>1.1940113952738014E-3</v>
      </c>
      <c r="AK64" s="5">
        <f t="shared" si="22"/>
        <v>2.0279494165325034E-2</v>
      </c>
      <c r="AL64" s="5">
        <f t="shared" si="22"/>
        <v>1.6543516416000634E-2</v>
      </c>
      <c r="AM64" s="5">
        <f t="shared" si="22"/>
        <v>3.8840216379374348E-2</v>
      </c>
    </row>
    <row r="66" spans="1:39" x14ac:dyDescent="0.3">
      <c r="K66" t="s">
        <v>49</v>
      </c>
      <c r="M66" s="19">
        <f>SUM(N66:AM66)</f>
        <v>1.0000000000000002</v>
      </c>
      <c r="N66" s="19">
        <v>0.2</v>
      </c>
      <c r="T66" s="19">
        <v>7.0000000000000007E-2</v>
      </c>
      <c r="U66" s="19">
        <v>0.08</v>
      </c>
      <c r="X66" s="19">
        <v>0.13</v>
      </c>
      <c r="Y66" s="19">
        <v>0.12</v>
      </c>
      <c r="AD66" s="19">
        <v>0.34</v>
      </c>
      <c r="AH66" s="19">
        <v>0.02</v>
      </c>
      <c r="AM66" s="19">
        <v>0.04</v>
      </c>
    </row>
    <row r="67" spans="1:39" x14ac:dyDescent="0.3">
      <c r="K67" t="s">
        <v>50</v>
      </c>
      <c r="M67" s="19">
        <f t="shared" ref="M67:M72" si="23">SUM(N67:AM67)</f>
        <v>1.0000000000000002</v>
      </c>
      <c r="N67" s="19">
        <v>0.24</v>
      </c>
      <c r="T67" s="19">
        <v>0.08</v>
      </c>
      <c r="U67" s="19">
        <v>0.09</v>
      </c>
      <c r="X67" s="19">
        <v>0.14000000000000001</v>
      </c>
      <c r="Y67" s="19">
        <v>0.05</v>
      </c>
      <c r="AD67" s="19">
        <v>0.34</v>
      </c>
      <c r="AH67" s="19">
        <v>0.02</v>
      </c>
      <c r="AM67" s="19">
        <v>0.04</v>
      </c>
    </row>
    <row r="68" spans="1:39" x14ac:dyDescent="0.3">
      <c r="M68" s="19"/>
    </row>
    <row r="69" spans="1:39" x14ac:dyDescent="0.3">
      <c r="K69" t="s">
        <v>51</v>
      </c>
      <c r="L69">
        <v>140740</v>
      </c>
      <c r="M69" s="19">
        <f t="shared" si="23"/>
        <v>1</v>
      </c>
      <c r="N69" s="19">
        <v>0.23</v>
      </c>
      <c r="T69" s="19">
        <v>7.0000000000000007E-2</v>
      </c>
      <c r="U69" s="19">
        <v>0.13</v>
      </c>
      <c r="X69" s="19">
        <v>0.12</v>
      </c>
      <c r="Y69" s="19">
        <v>0.08</v>
      </c>
      <c r="AD69" s="19">
        <v>0.28999999999999998</v>
      </c>
      <c r="AH69" s="19">
        <v>0.04</v>
      </c>
      <c r="AM69" s="19">
        <v>0.04</v>
      </c>
    </row>
    <row r="70" spans="1:39" x14ac:dyDescent="0.3">
      <c r="K70" t="s">
        <v>52</v>
      </c>
      <c r="M70" s="19">
        <f t="shared" si="23"/>
        <v>1.0000000000000002</v>
      </c>
      <c r="N70" s="19">
        <v>0.27</v>
      </c>
      <c r="T70" s="19">
        <v>0.08</v>
      </c>
      <c r="U70" s="19">
        <v>0.13</v>
      </c>
      <c r="X70" s="19">
        <v>0.12</v>
      </c>
      <c r="Y70" s="19">
        <v>0.03</v>
      </c>
      <c r="AD70" s="19">
        <v>0.3</v>
      </c>
      <c r="AH70" s="19">
        <v>0.03</v>
      </c>
      <c r="AM70" s="19">
        <v>0.04</v>
      </c>
    </row>
    <row r="71" spans="1:39" x14ac:dyDescent="0.3">
      <c r="M71" s="19"/>
    </row>
    <row r="72" spans="1:39" x14ac:dyDescent="0.3">
      <c r="K72" t="s">
        <v>53</v>
      </c>
      <c r="M72" s="19">
        <f t="shared" si="23"/>
        <v>0.99999999999999978</v>
      </c>
      <c r="N72" s="20">
        <v>0.20300000000000001</v>
      </c>
      <c r="S72" s="20">
        <v>1.1999999999999999E-3</v>
      </c>
      <c r="T72" s="20">
        <v>7.9299999999999995E-2</v>
      </c>
      <c r="U72" s="19">
        <v>0.14199999999999999</v>
      </c>
      <c r="X72" s="20">
        <v>0.13189999999999999</v>
      </c>
      <c r="Y72" s="20">
        <v>5.8900000000000001E-2</v>
      </c>
      <c r="AD72" s="20">
        <v>0.29380000000000001</v>
      </c>
      <c r="AH72" s="20">
        <v>3.4500000000000003E-2</v>
      </c>
      <c r="AL72" s="20">
        <v>1.66E-2</v>
      </c>
      <c r="AM72" s="20">
        <v>3.8800000000000001E-2</v>
      </c>
    </row>
    <row r="76" spans="1:39" x14ac:dyDescent="0.3">
      <c r="A76" t="s">
        <v>85</v>
      </c>
      <c r="L76">
        <v>1381.18</v>
      </c>
      <c r="M76">
        <f>N76+S76+T76+U76+Y76+AD76+AH76+AL76+AM76</f>
        <v>1381.1799999999998</v>
      </c>
      <c r="N76">
        <v>308.12</v>
      </c>
      <c r="O76">
        <v>0</v>
      </c>
      <c r="P76">
        <v>0</v>
      </c>
      <c r="Q76">
        <v>284.52999999999997</v>
      </c>
      <c r="R76">
        <v>23.59</v>
      </c>
      <c r="S76">
        <v>0</v>
      </c>
      <c r="T76">
        <v>480.57</v>
      </c>
      <c r="U76">
        <v>342.64</v>
      </c>
      <c r="V76">
        <v>102.36</v>
      </c>
      <c r="W76">
        <v>4.26</v>
      </c>
      <c r="X76">
        <v>236.02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113.71</v>
      </c>
      <c r="AE76">
        <v>2.21</v>
      </c>
      <c r="AF76">
        <v>111.5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1.54</v>
      </c>
      <c r="AM76">
        <v>134.6</v>
      </c>
    </row>
    <row r="77" spans="1:39" x14ac:dyDescent="0.3">
      <c r="M77" s="19">
        <f>SUM(N77,S77,T77,U77,Y77,AD77,AH77,AL77,AM77)</f>
        <v>1.0000000000000002</v>
      </c>
      <c r="N77" s="5">
        <f>N76/$M$76</f>
        <v>0.22308460881275435</v>
      </c>
      <c r="O77" s="5">
        <f t="shared" ref="O77:AM77" si="24">O76/$M$76</f>
        <v>0</v>
      </c>
      <c r="P77" s="5">
        <f t="shared" si="24"/>
        <v>0</v>
      </c>
      <c r="Q77" s="5">
        <f t="shared" si="24"/>
        <v>0.20600501020866216</v>
      </c>
      <c r="R77" s="5">
        <f t="shared" si="24"/>
        <v>1.7079598604092156E-2</v>
      </c>
      <c r="S77" s="5">
        <f t="shared" si="24"/>
        <v>0</v>
      </c>
      <c r="T77" s="5">
        <f t="shared" si="24"/>
        <v>0.34794161514067684</v>
      </c>
      <c r="U77" s="5">
        <f t="shared" si="24"/>
        <v>0.24807773063612276</v>
      </c>
      <c r="V77" s="5">
        <f t="shared" si="24"/>
        <v>7.4110543158748321E-2</v>
      </c>
      <c r="W77" s="5">
        <f t="shared" si="24"/>
        <v>3.0843192053171928E-3</v>
      </c>
      <c r="X77" s="5">
        <f t="shared" si="24"/>
        <v>0.17088286827205726</v>
      </c>
      <c r="Y77" s="5">
        <f t="shared" si="24"/>
        <v>0</v>
      </c>
      <c r="Z77" s="5">
        <f t="shared" si="24"/>
        <v>0</v>
      </c>
      <c r="AA77" s="5">
        <f t="shared" si="24"/>
        <v>0</v>
      </c>
      <c r="AB77" s="5">
        <f t="shared" si="24"/>
        <v>0</v>
      </c>
      <c r="AC77" s="5">
        <f t="shared" si="24"/>
        <v>0</v>
      </c>
      <c r="AD77" s="5">
        <f t="shared" si="24"/>
        <v>8.2328154186999528E-2</v>
      </c>
      <c r="AE77" s="5">
        <f t="shared" si="24"/>
        <v>1.6000810900823935E-3</v>
      </c>
      <c r="AF77" s="5">
        <f t="shared" si="24"/>
        <v>8.0728073096917138E-2</v>
      </c>
      <c r="AG77" s="5">
        <f t="shared" si="24"/>
        <v>0</v>
      </c>
      <c r="AH77" s="5">
        <f t="shared" si="24"/>
        <v>0</v>
      </c>
      <c r="AI77" s="5">
        <f t="shared" si="24"/>
        <v>0</v>
      </c>
      <c r="AJ77" s="5">
        <f t="shared" si="24"/>
        <v>0</v>
      </c>
      <c r="AK77" s="5">
        <f t="shared" si="24"/>
        <v>0</v>
      </c>
      <c r="AL77" s="5">
        <f t="shared" si="24"/>
        <v>1.1149886329080933E-3</v>
      </c>
      <c r="AM77" s="5">
        <f t="shared" si="24"/>
        <v>9.7452902590538529E-2</v>
      </c>
    </row>
    <row r="78" spans="1:39" x14ac:dyDescent="0.3">
      <c r="A78" t="s">
        <v>86</v>
      </c>
      <c r="L78">
        <v>2148.79</v>
      </c>
      <c r="M78">
        <f>N78+S78+T78+U78+Y78+AD78+AH78+AL78+AM78</f>
        <v>2148.79</v>
      </c>
      <c r="N78">
        <v>605.58000000000004</v>
      </c>
      <c r="O78">
        <v>0</v>
      </c>
      <c r="P78">
        <v>0</v>
      </c>
      <c r="Q78">
        <v>264.39</v>
      </c>
      <c r="R78">
        <v>341.19</v>
      </c>
      <c r="S78">
        <v>101.63</v>
      </c>
      <c r="T78">
        <v>449.08</v>
      </c>
      <c r="U78">
        <v>594.04999999999995</v>
      </c>
      <c r="V78">
        <v>100.12</v>
      </c>
      <c r="W78">
        <v>27.97</v>
      </c>
      <c r="X78">
        <v>465.96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160.33000000000001</v>
      </c>
      <c r="AE78">
        <v>10.69</v>
      </c>
      <c r="AF78">
        <v>149.63999999999999</v>
      </c>
      <c r="AG78">
        <v>0</v>
      </c>
      <c r="AH78">
        <v>69.84</v>
      </c>
      <c r="AI78">
        <v>69.84</v>
      </c>
      <c r="AJ78">
        <v>0</v>
      </c>
      <c r="AK78">
        <v>0</v>
      </c>
      <c r="AL78">
        <v>0.25</v>
      </c>
      <c r="AM78">
        <v>168.03</v>
      </c>
    </row>
    <row r="79" spans="1:39" x14ac:dyDescent="0.3">
      <c r="M79" s="19">
        <f>SUM(N79,S79,T79,U79,Y79,AD79,AH79,AL79,AM79)</f>
        <v>0.99999999999999989</v>
      </c>
      <c r="N79" s="5">
        <f>N78/$M$78</f>
        <v>0.28182372404934874</v>
      </c>
      <c r="O79" s="5">
        <f t="shared" ref="O79:AM79" si="25">O78/$M$78</f>
        <v>0</v>
      </c>
      <c r="P79" s="5">
        <f t="shared" si="25"/>
        <v>0</v>
      </c>
      <c r="Q79" s="5">
        <f t="shared" si="25"/>
        <v>0.12304133954458089</v>
      </c>
      <c r="R79" s="5">
        <f t="shared" si="25"/>
        <v>0.15878238450476781</v>
      </c>
      <c r="S79" s="5">
        <f t="shared" si="25"/>
        <v>4.7296385407601484E-2</v>
      </c>
      <c r="T79" s="5">
        <f t="shared" si="25"/>
        <v>0.20899203737917618</v>
      </c>
      <c r="U79" s="5">
        <f t="shared" si="25"/>
        <v>0.2764579135234248</v>
      </c>
      <c r="V79" s="5">
        <f t="shared" si="25"/>
        <v>4.659366434132698E-2</v>
      </c>
      <c r="W79" s="5">
        <f t="shared" si="25"/>
        <v>1.3016627962713899E-2</v>
      </c>
      <c r="X79" s="5">
        <f t="shared" si="25"/>
        <v>0.21684762121938392</v>
      </c>
      <c r="Y79" s="5">
        <f t="shared" si="25"/>
        <v>0</v>
      </c>
      <c r="Z79" s="5">
        <f t="shared" si="25"/>
        <v>0</v>
      </c>
      <c r="AA79" s="5">
        <f t="shared" si="25"/>
        <v>0</v>
      </c>
      <c r="AB79" s="5">
        <f t="shared" si="25"/>
        <v>0</v>
      </c>
      <c r="AC79" s="5">
        <f t="shared" si="25"/>
        <v>0</v>
      </c>
      <c r="AD79" s="5">
        <f t="shared" si="25"/>
        <v>7.4614085136286007E-2</v>
      </c>
      <c r="AE79" s="5">
        <f t="shared" si="25"/>
        <v>4.9748928466718479E-3</v>
      </c>
      <c r="AF79" s="5">
        <f t="shared" si="25"/>
        <v>6.9639192289614155E-2</v>
      </c>
      <c r="AG79" s="5">
        <f t="shared" si="25"/>
        <v>0</v>
      </c>
      <c r="AH79" s="5">
        <f t="shared" si="25"/>
        <v>3.2502012760669961E-2</v>
      </c>
      <c r="AI79" s="5">
        <f t="shared" si="25"/>
        <v>3.2502012760669961E-2</v>
      </c>
      <c r="AJ79" s="5">
        <f t="shared" si="25"/>
        <v>0</v>
      </c>
      <c r="AK79" s="5">
        <f t="shared" si="25"/>
        <v>0</v>
      </c>
      <c r="AL79" s="5">
        <f t="shared" si="25"/>
        <v>1.1634454739644172E-4</v>
      </c>
      <c r="AM79" s="5">
        <f t="shared" si="25"/>
        <v>7.8197497196096408E-2</v>
      </c>
    </row>
    <row r="80" spans="1:39" x14ac:dyDescent="0.3">
      <c r="A80" t="s">
        <v>87</v>
      </c>
      <c r="L80">
        <v>11485.51</v>
      </c>
      <c r="M80">
        <f>N80+S80+T80+U80+Y80+AD80+AH80+AL80+AM80</f>
        <v>11485.510000000002</v>
      </c>
      <c r="N80">
        <v>2787.31</v>
      </c>
      <c r="O80">
        <v>1128.06</v>
      </c>
      <c r="P80">
        <v>153.28</v>
      </c>
      <c r="Q80">
        <v>427.37</v>
      </c>
      <c r="R80">
        <v>1078.5999999999999</v>
      </c>
      <c r="S80">
        <v>0</v>
      </c>
      <c r="T80">
        <v>752.76</v>
      </c>
      <c r="U80">
        <v>3095.6</v>
      </c>
      <c r="V80">
        <v>955.37</v>
      </c>
      <c r="W80">
        <v>157.47999999999999</v>
      </c>
      <c r="X80">
        <v>1982.75</v>
      </c>
      <c r="Y80">
        <v>506.04</v>
      </c>
      <c r="Z80">
        <v>99.19</v>
      </c>
      <c r="AA80">
        <v>406.85</v>
      </c>
      <c r="AB80">
        <v>0</v>
      </c>
      <c r="AC80">
        <v>0</v>
      </c>
      <c r="AD80">
        <v>3384.24</v>
      </c>
      <c r="AE80">
        <v>97.68</v>
      </c>
      <c r="AF80">
        <v>3286.56</v>
      </c>
      <c r="AG80">
        <v>0</v>
      </c>
      <c r="AH80">
        <v>708.84</v>
      </c>
      <c r="AI80">
        <v>323.89999999999998</v>
      </c>
      <c r="AJ80">
        <v>83.91</v>
      </c>
      <c r="AK80">
        <v>301.02999999999997</v>
      </c>
      <c r="AL80">
        <v>29.7</v>
      </c>
      <c r="AM80">
        <v>221.02</v>
      </c>
    </row>
    <row r="81" spans="1:39" x14ac:dyDescent="0.3">
      <c r="M81" s="19">
        <f>SUM(N81,S81,T81,U81,Y81,AD81,AH81,AL81,AM81)</f>
        <v>0.99999999999999967</v>
      </c>
      <c r="N81" s="5">
        <f>N80/$M$80</f>
        <v>0.24268056011443981</v>
      </c>
      <c r="O81" s="5">
        <f t="shared" ref="O81:AM81" si="26">O80/$M$80</f>
        <v>9.8215925979777977E-2</v>
      </c>
      <c r="P81" s="5">
        <f t="shared" si="26"/>
        <v>1.3345510996028907E-2</v>
      </c>
      <c r="Q81" s="5">
        <f t="shared" si="26"/>
        <v>3.720949265639923E-2</v>
      </c>
      <c r="R81" s="5">
        <f t="shared" si="26"/>
        <v>9.3909630482233677E-2</v>
      </c>
      <c r="S81" s="5">
        <f t="shared" si="26"/>
        <v>0</v>
      </c>
      <c r="T81" s="5">
        <f t="shared" si="26"/>
        <v>6.5539971668650318E-2</v>
      </c>
      <c r="U81" s="5">
        <f t="shared" si="26"/>
        <v>0.26952220667606397</v>
      </c>
      <c r="V81" s="5">
        <f t="shared" si="26"/>
        <v>8.318045955294974E-2</v>
      </c>
      <c r="W81" s="5">
        <f t="shared" si="26"/>
        <v>1.3711189141796922E-2</v>
      </c>
      <c r="X81" s="5">
        <f t="shared" si="26"/>
        <v>0.1726305579813173</v>
      </c>
      <c r="Y81" s="5">
        <f t="shared" si="26"/>
        <v>4.4058992591534896E-2</v>
      </c>
      <c r="Z81" s="5">
        <f t="shared" si="26"/>
        <v>8.6360988758879646E-3</v>
      </c>
      <c r="AA81" s="5">
        <f t="shared" si="26"/>
        <v>3.5422893715646928E-2</v>
      </c>
      <c r="AB81" s="5">
        <f t="shared" si="26"/>
        <v>0</v>
      </c>
      <c r="AC81" s="5">
        <f t="shared" si="26"/>
        <v>0</v>
      </c>
      <c r="AD81" s="5">
        <f t="shared" si="26"/>
        <v>0.29465300191284488</v>
      </c>
      <c r="AE81" s="5">
        <f t="shared" si="26"/>
        <v>8.504628875861845E-3</v>
      </c>
      <c r="AF81" s="5">
        <f t="shared" si="26"/>
        <v>0.28614837303698304</v>
      </c>
      <c r="AG81" s="5">
        <f t="shared" si="26"/>
        <v>0</v>
      </c>
      <c r="AH81" s="5">
        <f t="shared" si="26"/>
        <v>6.171602305861907E-2</v>
      </c>
      <c r="AI81" s="5">
        <f t="shared" si="26"/>
        <v>2.8200750336728617E-2</v>
      </c>
      <c r="AJ81" s="5">
        <f t="shared" si="26"/>
        <v>7.3057269550938515E-3</v>
      </c>
      <c r="AK81" s="5">
        <f t="shared" si="26"/>
        <v>2.6209545766796592E-2</v>
      </c>
      <c r="AL81" s="5">
        <f t="shared" si="26"/>
        <v>2.5858668879309662E-3</v>
      </c>
      <c r="AM81" s="5">
        <f t="shared" si="26"/>
        <v>1.92433770899159E-2</v>
      </c>
    </row>
    <row r="82" spans="1:39" x14ac:dyDescent="0.3">
      <c r="A82" t="s">
        <v>88</v>
      </c>
      <c r="L82">
        <v>4014.53</v>
      </c>
      <c r="M82">
        <f>N82+S82+T82+U82+Y82+AD82+AH82+AL82+AM82</f>
        <v>4014.53</v>
      </c>
      <c r="N82">
        <v>1464.82</v>
      </c>
      <c r="O82">
        <v>0</v>
      </c>
      <c r="P82">
        <v>0</v>
      </c>
      <c r="Q82">
        <v>522.21</v>
      </c>
      <c r="R82">
        <v>942.61</v>
      </c>
      <c r="S82">
        <v>0</v>
      </c>
      <c r="T82">
        <v>611.47</v>
      </c>
      <c r="U82">
        <v>1269.48</v>
      </c>
      <c r="V82">
        <v>319.83999999999997</v>
      </c>
      <c r="W82">
        <v>64.09</v>
      </c>
      <c r="X82">
        <v>885.55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503.03</v>
      </c>
      <c r="AE82">
        <v>72.88</v>
      </c>
      <c r="AF82">
        <v>430.15</v>
      </c>
      <c r="AG82">
        <v>0</v>
      </c>
      <c r="AH82">
        <v>70.58</v>
      </c>
      <c r="AI82">
        <v>69.400000000000006</v>
      </c>
      <c r="AJ82">
        <v>0</v>
      </c>
      <c r="AK82">
        <v>1.18</v>
      </c>
      <c r="AL82">
        <v>23.05</v>
      </c>
      <c r="AM82">
        <v>72.099999999999994</v>
      </c>
    </row>
    <row r="83" spans="1:39" x14ac:dyDescent="0.3">
      <c r="M83" s="19">
        <f>SUM(N83,S83,T83,U83,Y83,AD83,AH83,AL83,AM83)</f>
        <v>0.99999999999999989</v>
      </c>
      <c r="N83" s="5">
        <f>N82/$M$82</f>
        <v>0.36487957494401585</v>
      </c>
      <c r="O83" s="5">
        <f t="shared" ref="O83:AM83" si="27">O82/$M$82</f>
        <v>0</v>
      </c>
      <c r="P83" s="5">
        <f t="shared" si="27"/>
        <v>0</v>
      </c>
      <c r="Q83" s="5">
        <f t="shared" si="27"/>
        <v>0.13007998445646191</v>
      </c>
      <c r="R83" s="5">
        <f t="shared" si="27"/>
        <v>0.23479959048755394</v>
      </c>
      <c r="S83" s="5">
        <f t="shared" si="27"/>
        <v>0</v>
      </c>
      <c r="T83" s="5">
        <f t="shared" si="27"/>
        <v>0.15231421860093211</v>
      </c>
      <c r="U83" s="5">
        <f t="shared" si="27"/>
        <v>0.31622132603318442</v>
      </c>
      <c r="V83" s="5">
        <f t="shared" si="27"/>
        <v>7.9670596558003043E-2</v>
      </c>
      <c r="W83" s="5">
        <f t="shared" si="27"/>
        <v>1.5964508921343219E-2</v>
      </c>
      <c r="X83" s="5">
        <f t="shared" si="27"/>
        <v>0.22058622055383817</v>
      </c>
      <c r="Y83" s="5">
        <f t="shared" si="27"/>
        <v>0</v>
      </c>
      <c r="Z83" s="5">
        <f t="shared" si="27"/>
        <v>0</v>
      </c>
      <c r="AA83" s="5">
        <f t="shared" si="27"/>
        <v>0</v>
      </c>
      <c r="AB83" s="5">
        <f t="shared" si="27"/>
        <v>0</v>
      </c>
      <c r="AC83" s="5">
        <f t="shared" si="27"/>
        <v>0</v>
      </c>
      <c r="AD83" s="5">
        <f t="shared" si="27"/>
        <v>0.12530233925266468</v>
      </c>
      <c r="AE83" s="5">
        <f t="shared" si="27"/>
        <v>1.8154055393782086E-2</v>
      </c>
      <c r="AF83" s="5">
        <f t="shared" si="27"/>
        <v>0.1071482838588826</v>
      </c>
      <c r="AG83" s="5">
        <f t="shared" si="27"/>
        <v>0</v>
      </c>
      <c r="AH83" s="5">
        <f t="shared" si="27"/>
        <v>1.7581136521585342E-2</v>
      </c>
      <c r="AI83" s="5">
        <f t="shared" si="27"/>
        <v>1.7287204230632229E-2</v>
      </c>
      <c r="AJ83" s="5">
        <f t="shared" si="27"/>
        <v>0</v>
      </c>
      <c r="AK83" s="5">
        <f t="shared" si="27"/>
        <v>2.9393229095311279E-4</v>
      </c>
      <c r="AL83" s="5">
        <f t="shared" si="27"/>
        <v>5.7416434800586866E-3</v>
      </c>
      <c r="AM83" s="5">
        <f t="shared" si="27"/>
        <v>1.795976116755884E-2</v>
      </c>
    </row>
    <row r="84" spans="1:39" x14ac:dyDescent="0.3">
      <c r="A84" t="s">
        <v>89</v>
      </c>
      <c r="L84">
        <v>4750.84</v>
      </c>
      <c r="M84">
        <f>N84+S84+T84+U84+Y84+AD84+AH84+AL84+AM84</f>
        <v>4750.84</v>
      </c>
      <c r="N84">
        <v>1038.1300000000001</v>
      </c>
      <c r="O84">
        <v>0</v>
      </c>
      <c r="P84">
        <v>81.48</v>
      </c>
      <c r="Q84">
        <v>716.87</v>
      </c>
      <c r="R84">
        <v>239.78</v>
      </c>
      <c r="S84">
        <v>0</v>
      </c>
      <c r="T84">
        <v>342.05</v>
      </c>
      <c r="U84">
        <v>2251.73</v>
      </c>
      <c r="V84">
        <v>698.98</v>
      </c>
      <c r="W84">
        <v>175.51</v>
      </c>
      <c r="X84">
        <v>1377.24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318.39999999999998</v>
      </c>
      <c r="AE84">
        <v>27.51</v>
      </c>
      <c r="AF84">
        <v>290.89</v>
      </c>
      <c r="AG84">
        <v>0</v>
      </c>
      <c r="AH84">
        <v>63.19</v>
      </c>
      <c r="AI84">
        <v>33.33</v>
      </c>
      <c r="AJ84">
        <v>0</v>
      </c>
      <c r="AK84">
        <v>29.86</v>
      </c>
      <c r="AL84">
        <v>0</v>
      </c>
      <c r="AM84">
        <v>737.34</v>
      </c>
    </row>
    <row r="85" spans="1:39" x14ac:dyDescent="0.3">
      <c r="M85" s="19">
        <f>SUM(N85,S85,T85,U85,Y85,AD85,AH85,AL85,AM85)</f>
        <v>1</v>
      </c>
      <c r="N85" s="5">
        <f>N84/$M$84</f>
        <v>0.21851504155054688</v>
      </c>
      <c r="O85" s="5">
        <f t="shared" ref="O85:AM85" si="28">O84/$M$84</f>
        <v>0</v>
      </c>
      <c r="P85" s="5">
        <f t="shared" si="28"/>
        <v>1.7150651253252058E-2</v>
      </c>
      <c r="Q85" s="5">
        <f t="shared" si="28"/>
        <v>0.15089331570837999</v>
      </c>
      <c r="R85" s="5">
        <f t="shared" si="28"/>
        <v>5.0471074588914804E-2</v>
      </c>
      <c r="S85" s="5">
        <f t="shared" si="28"/>
        <v>0</v>
      </c>
      <c r="T85" s="5">
        <f t="shared" si="28"/>
        <v>7.1997794074311075E-2</v>
      </c>
      <c r="U85" s="5">
        <f t="shared" si="28"/>
        <v>0.47396460415421271</v>
      </c>
      <c r="V85" s="5">
        <f t="shared" si="28"/>
        <v>0.14712766584435594</v>
      </c>
      <c r="W85" s="5">
        <f t="shared" si="28"/>
        <v>3.6942940616817237E-2</v>
      </c>
      <c r="X85" s="5">
        <f t="shared" si="28"/>
        <v>0.28989399769303953</v>
      </c>
      <c r="Y85" s="5">
        <f t="shared" si="28"/>
        <v>0</v>
      </c>
      <c r="Z85" s="5">
        <f t="shared" si="28"/>
        <v>0</v>
      </c>
      <c r="AA85" s="5">
        <f t="shared" si="28"/>
        <v>0</v>
      </c>
      <c r="AB85" s="5">
        <f t="shared" si="28"/>
        <v>0</v>
      </c>
      <c r="AC85" s="5">
        <f t="shared" si="28"/>
        <v>0</v>
      </c>
      <c r="AD85" s="5">
        <f t="shared" si="28"/>
        <v>6.7019727037744892E-2</v>
      </c>
      <c r="AE85" s="5">
        <f t="shared" si="28"/>
        <v>5.7905549334433494E-3</v>
      </c>
      <c r="AF85" s="5">
        <f t="shared" si="28"/>
        <v>6.1229172104301552E-2</v>
      </c>
      <c r="AG85" s="5">
        <f t="shared" si="28"/>
        <v>0</v>
      </c>
      <c r="AH85" s="5">
        <f t="shared" si="28"/>
        <v>1.3300805752245917E-2</v>
      </c>
      <c r="AI85" s="5">
        <f t="shared" si="28"/>
        <v>7.0156014515327806E-3</v>
      </c>
      <c r="AJ85" s="5">
        <f t="shared" si="28"/>
        <v>0</v>
      </c>
      <c r="AK85" s="5">
        <f t="shared" si="28"/>
        <v>6.2852043007131366E-3</v>
      </c>
      <c r="AL85" s="5">
        <f t="shared" si="28"/>
        <v>0</v>
      </c>
      <c r="AM85" s="5">
        <f t="shared" si="28"/>
        <v>0.15520202743093853</v>
      </c>
    </row>
    <row r="86" spans="1:39" x14ac:dyDescent="0.3">
      <c r="A86" t="s">
        <v>90</v>
      </c>
      <c r="L86">
        <v>10222.69</v>
      </c>
      <c r="M86">
        <f>N86+S86+T86+U86+Y86+AD86+AH86+AL86+AM86</f>
        <v>10222.689999999999</v>
      </c>
      <c r="N86">
        <v>1458.59</v>
      </c>
      <c r="O86">
        <v>705.54</v>
      </c>
      <c r="P86">
        <v>106.58</v>
      </c>
      <c r="Q86">
        <v>476.77</v>
      </c>
      <c r="R86">
        <v>169.7</v>
      </c>
      <c r="S86">
        <v>0</v>
      </c>
      <c r="T86">
        <v>206.72</v>
      </c>
      <c r="U86">
        <v>4116.67</v>
      </c>
      <c r="V86">
        <v>2514.25</v>
      </c>
      <c r="W86">
        <v>484.58</v>
      </c>
      <c r="X86">
        <v>1117.8399999999999</v>
      </c>
      <c r="Y86">
        <v>730.52</v>
      </c>
      <c r="Z86">
        <v>41.56</v>
      </c>
      <c r="AA86">
        <v>688.96</v>
      </c>
      <c r="AB86">
        <v>0</v>
      </c>
      <c r="AC86">
        <v>0</v>
      </c>
      <c r="AD86">
        <v>2202.71</v>
      </c>
      <c r="AE86">
        <v>158.5</v>
      </c>
      <c r="AF86">
        <v>2044.21</v>
      </c>
      <c r="AG86">
        <v>0</v>
      </c>
      <c r="AH86">
        <v>854.55</v>
      </c>
      <c r="AI86">
        <v>132.72</v>
      </c>
      <c r="AJ86">
        <v>0</v>
      </c>
      <c r="AK86">
        <v>721.83</v>
      </c>
      <c r="AL86">
        <v>170.02</v>
      </c>
      <c r="AM86">
        <v>482.91</v>
      </c>
    </row>
    <row r="87" spans="1:39" x14ac:dyDescent="0.3">
      <c r="M87" s="19">
        <f>SUM(N87,S87,T87,U87,Y87,AD87,AH87,AL87,AM87)</f>
        <v>1.0000000000000002</v>
      </c>
      <c r="N87" s="5">
        <f>N86/$M$86</f>
        <v>0.1426816229387764</v>
      </c>
      <c r="O87" s="5">
        <f t="shared" ref="O87:AM87" si="29">O86/$M$86</f>
        <v>6.9017059110664622E-2</v>
      </c>
      <c r="P87" s="5">
        <f t="shared" si="29"/>
        <v>1.0425827252905058E-2</v>
      </c>
      <c r="Q87" s="5">
        <f t="shared" si="29"/>
        <v>4.6638409264097812E-2</v>
      </c>
      <c r="R87" s="5">
        <f t="shared" si="29"/>
        <v>1.6600327311108918E-2</v>
      </c>
      <c r="S87" s="5">
        <f t="shared" si="29"/>
        <v>0</v>
      </c>
      <c r="T87" s="5">
        <f t="shared" si="29"/>
        <v>2.0221683333838749E-2</v>
      </c>
      <c r="U87" s="5">
        <f t="shared" si="29"/>
        <v>0.40269928952164258</v>
      </c>
      <c r="V87" s="5">
        <f t="shared" si="29"/>
        <v>0.24594798433680376</v>
      </c>
      <c r="W87" s="5">
        <f t="shared" si="29"/>
        <v>4.7402396042528931E-2</v>
      </c>
      <c r="X87" s="5">
        <f t="shared" si="29"/>
        <v>0.10934890914230991</v>
      </c>
      <c r="Y87" s="5">
        <f t="shared" si="29"/>
        <v>7.1460642942317534E-2</v>
      </c>
      <c r="Z87" s="5">
        <f t="shared" si="29"/>
        <v>4.0654661346475347E-3</v>
      </c>
      <c r="AA87" s="5">
        <f t="shared" si="29"/>
        <v>6.7395176807670015E-2</v>
      </c>
      <c r="AB87" s="5">
        <f t="shared" si="29"/>
        <v>0</v>
      </c>
      <c r="AC87" s="5">
        <f t="shared" si="29"/>
        <v>0</v>
      </c>
      <c r="AD87" s="5">
        <f t="shared" si="29"/>
        <v>0.21547263978463596</v>
      </c>
      <c r="AE87" s="5">
        <f t="shared" si="29"/>
        <v>1.550472527289784E-2</v>
      </c>
      <c r="AF87" s="5">
        <f t="shared" si="29"/>
        <v>0.19996791451173812</v>
      </c>
      <c r="AG87" s="5">
        <f t="shared" si="29"/>
        <v>0</v>
      </c>
      <c r="AH87" s="5">
        <f t="shared" si="29"/>
        <v>8.3593457299399682E-2</v>
      </c>
      <c r="AI87" s="5">
        <f t="shared" si="29"/>
        <v>1.298288415280127E-2</v>
      </c>
      <c r="AJ87" s="5">
        <f t="shared" si="29"/>
        <v>0</v>
      </c>
      <c r="AK87" s="5">
        <f t="shared" si="29"/>
        <v>7.061057314659841E-2</v>
      </c>
      <c r="AL87" s="5">
        <f t="shared" si="29"/>
        <v>1.663163022648638E-2</v>
      </c>
      <c r="AM87" s="5">
        <f t="shared" si="29"/>
        <v>4.7239033952902819E-2</v>
      </c>
    </row>
    <row r="88" spans="1:39" x14ac:dyDescent="0.3">
      <c r="A88" t="s">
        <v>91</v>
      </c>
      <c r="L88">
        <v>5633.17</v>
      </c>
      <c r="M88">
        <f>N88+S88+T88+U88+Y88+AD88+AH88+AL88+AM88</f>
        <v>5633.17</v>
      </c>
      <c r="N88">
        <v>1385.9</v>
      </c>
      <c r="O88">
        <v>56.11</v>
      </c>
      <c r="P88">
        <v>4.92</v>
      </c>
      <c r="Q88">
        <v>451.46</v>
      </c>
      <c r="R88">
        <v>873.41</v>
      </c>
      <c r="S88">
        <v>0</v>
      </c>
      <c r="T88">
        <v>692.81</v>
      </c>
      <c r="U88">
        <v>2251.62</v>
      </c>
      <c r="V88">
        <v>891.23</v>
      </c>
      <c r="W88">
        <v>68.37</v>
      </c>
      <c r="X88">
        <v>1292.02</v>
      </c>
      <c r="Y88">
        <v>51.38</v>
      </c>
      <c r="Z88">
        <v>51.38</v>
      </c>
      <c r="AA88">
        <v>0</v>
      </c>
      <c r="AB88">
        <v>0</v>
      </c>
      <c r="AC88">
        <v>0</v>
      </c>
      <c r="AD88">
        <v>655.74</v>
      </c>
      <c r="AE88">
        <v>41.5</v>
      </c>
      <c r="AF88">
        <v>614.24</v>
      </c>
      <c r="AG88">
        <v>0</v>
      </c>
      <c r="AH88">
        <v>285.76</v>
      </c>
      <c r="AI88">
        <v>135.66</v>
      </c>
      <c r="AJ88">
        <v>0</v>
      </c>
      <c r="AK88">
        <v>150.1</v>
      </c>
      <c r="AL88">
        <v>26.81</v>
      </c>
      <c r="AM88">
        <v>283.14999999999998</v>
      </c>
    </row>
    <row r="89" spans="1:39" x14ac:dyDescent="0.3">
      <c r="M89" s="19">
        <f>SUM(N89,S89,T89,U89,Y89,AD89,AH89,AL89,AM89)</f>
        <v>1</v>
      </c>
      <c r="N89" s="5">
        <f>N88/$M$88</f>
        <v>0.24602488474517903</v>
      </c>
      <c r="O89" s="5">
        <f t="shared" ref="O89:AM89" si="30">O88/$M$88</f>
        <v>9.960643829318128E-3</v>
      </c>
      <c r="P89" s="5">
        <f t="shared" si="30"/>
        <v>8.7339810444208145E-4</v>
      </c>
      <c r="Q89" s="5">
        <f t="shared" si="30"/>
        <v>8.0143152079557328E-2</v>
      </c>
      <c r="R89" s="5">
        <f t="shared" si="30"/>
        <v>0.15504769073186145</v>
      </c>
      <c r="S89" s="5">
        <f t="shared" si="30"/>
        <v>0</v>
      </c>
      <c r="T89" s="5">
        <f t="shared" si="30"/>
        <v>0.12298758958099967</v>
      </c>
      <c r="U89" s="5">
        <f t="shared" si="30"/>
        <v>0.39970744713899986</v>
      </c>
      <c r="V89" s="5">
        <f t="shared" si="30"/>
        <v>0.1582110960613651</v>
      </c>
      <c r="W89" s="5">
        <f t="shared" si="30"/>
        <v>1.2137038292826242E-2</v>
      </c>
      <c r="X89" s="5">
        <f t="shared" si="30"/>
        <v>0.22935931278480856</v>
      </c>
      <c r="Y89" s="5">
        <f t="shared" si="30"/>
        <v>9.1209745134622246E-3</v>
      </c>
      <c r="Z89" s="5">
        <f t="shared" si="30"/>
        <v>9.1209745134622246E-3</v>
      </c>
      <c r="AA89" s="5">
        <f t="shared" si="30"/>
        <v>0</v>
      </c>
      <c r="AB89" s="5">
        <f t="shared" si="30"/>
        <v>0</v>
      </c>
      <c r="AC89" s="5">
        <f t="shared" si="30"/>
        <v>0</v>
      </c>
      <c r="AD89" s="5">
        <f t="shared" si="30"/>
        <v>0.11640692540789645</v>
      </c>
      <c r="AE89" s="5">
        <f t="shared" si="30"/>
        <v>7.3670775069809716E-3</v>
      </c>
      <c r="AF89" s="5">
        <f t="shared" si="30"/>
        <v>0.10903984790091548</v>
      </c>
      <c r="AG89" s="5">
        <f t="shared" si="30"/>
        <v>0</v>
      </c>
      <c r="AH89" s="5">
        <f t="shared" si="30"/>
        <v>5.0728098033611627E-2</v>
      </c>
      <c r="AI89" s="5">
        <f t="shared" si="30"/>
        <v>2.4082355050531051E-2</v>
      </c>
      <c r="AJ89" s="5">
        <f t="shared" si="30"/>
        <v>0</v>
      </c>
      <c r="AK89" s="5">
        <f t="shared" si="30"/>
        <v>2.6645742983080572E-2</v>
      </c>
      <c r="AL89" s="5">
        <f t="shared" si="30"/>
        <v>4.7593095894496347E-3</v>
      </c>
      <c r="AM89" s="5">
        <f t="shared" si="30"/>
        <v>5.026477099040149E-2</v>
      </c>
    </row>
    <row r="90" spans="1:39" x14ac:dyDescent="0.3">
      <c r="A90" t="s">
        <v>92</v>
      </c>
      <c r="L90">
        <v>9076.19</v>
      </c>
      <c r="M90">
        <f>N90+S90+T90+U90+Y90+AD90+AH90+AL90+AM90</f>
        <v>9076.19</v>
      </c>
      <c r="N90">
        <v>2627.85</v>
      </c>
      <c r="O90">
        <v>1093.51</v>
      </c>
      <c r="P90">
        <v>73.89</v>
      </c>
      <c r="Q90">
        <v>367.11</v>
      </c>
      <c r="R90">
        <v>1093.3399999999999</v>
      </c>
      <c r="S90">
        <v>0</v>
      </c>
      <c r="T90">
        <v>357.58</v>
      </c>
      <c r="U90">
        <v>2778.43</v>
      </c>
      <c r="V90">
        <v>1214.26</v>
      </c>
      <c r="W90">
        <v>250.32</v>
      </c>
      <c r="X90">
        <v>1313.85</v>
      </c>
      <c r="Y90">
        <v>453.64</v>
      </c>
      <c r="Z90">
        <v>428.41</v>
      </c>
      <c r="AA90">
        <v>9.01</v>
      </c>
      <c r="AB90">
        <v>16.22</v>
      </c>
      <c r="AC90">
        <v>0</v>
      </c>
      <c r="AD90">
        <v>1048.0899999999999</v>
      </c>
      <c r="AE90">
        <v>44.43</v>
      </c>
      <c r="AF90">
        <v>1003.66</v>
      </c>
      <c r="AG90">
        <v>0</v>
      </c>
      <c r="AH90">
        <v>729.93</v>
      </c>
      <c r="AI90">
        <v>22.58</v>
      </c>
      <c r="AJ90">
        <v>89.13</v>
      </c>
      <c r="AK90">
        <v>618.22</v>
      </c>
      <c r="AL90">
        <v>881.45</v>
      </c>
      <c r="AM90">
        <v>199.22</v>
      </c>
    </row>
    <row r="91" spans="1:39" x14ac:dyDescent="0.3">
      <c r="M91" s="19">
        <f>SUM(N91,S91,T91,U91,Y91,AD91,AH91,AL91,AM91)</f>
        <v>0.99999999999999978</v>
      </c>
      <c r="N91" s="5">
        <f>N90/$M$90</f>
        <v>0.28953228171732848</v>
      </c>
      <c r="O91" s="5">
        <f t="shared" ref="O91:AM91" si="31">O90/$M$90</f>
        <v>0.12048117106406983</v>
      </c>
      <c r="P91" s="5">
        <f t="shared" si="31"/>
        <v>8.1410812246107672E-3</v>
      </c>
      <c r="Q91" s="5">
        <f t="shared" si="31"/>
        <v>4.0447588690849356E-2</v>
      </c>
      <c r="R91" s="5">
        <f t="shared" si="31"/>
        <v>0.12046244073779855</v>
      </c>
      <c r="S91" s="5">
        <f t="shared" si="31"/>
        <v>0</v>
      </c>
      <c r="T91" s="5">
        <f t="shared" si="31"/>
        <v>3.9397588635760157E-2</v>
      </c>
      <c r="U91" s="5">
        <f t="shared" si="31"/>
        <v>0.30612294365807674</v>
      </c>
      <c r="V91" s="5">
        <f t="shared" si="31"/>
        <v>0.13378521163616011</v>
      </c>
      <c r="W91" s="5">
        <f t="shared" si="31"/>
        <v>2.7579854542489741E-2</v>
      </c>
      <c r="X91" s="5">
        <f t="shared" si="31"/>
        <v>0.14475787747942692</v>
      </c>
      <c r="Y91" s="5">
        <f t="shared" si="31"/>
        <v>4.9981324762923648E-2</v>
      </c>
      <c r="Z91" s="5">
        <f t="shared" si="31"/>
        <v>4.7201523987488142E-2</v>
      </c>
      <c r="AA91" s="5">
        <f t="shared" si="31"/>
        <v>9.9270729237708761E-4</v>
      </c>
      <c r="AB91" s="5">
        <f t="shared" si="31"/>
        <v>1.7870934830584197E-3</v>
      </c>
      <c r="AC91" s="5">
        <f t="shared" si="31"/>
        <v>0</v>
      </c>
      <c r="AD91" s="5">
        <f t="shared" si="31"/>
        <v>0.11547686859794692</v>
      </c>
      <c r="AE91" s="5">
        <f t="shared" si="31"/>
        <v>4.8952258601902337E-3</v>
      </c>
      <c r="AF91" s="5">
        <f t="shared" si="31"/>
        <v>0.1105816427377567</v>
      </c>
      <c r="AG91" s="5">
        <f t="shared" si="31"/>
        <v>0</v>
      </c>
      <c r="AH91" s="5">
        <f t="shared" si="31"/>
        <v>8.0422512089323814E-2</v>
      </c>
      <c r="AI91" s="5">
        <f t="shared" si="31"/>
        <v>2.4878280423834228E-3</v>
      </c>
      <c r="AJ91" s="5">
        <f t="shared" si="31"/>
        <v>9.820199885634831E-3</v>
      </c>
      <c r="AK91" s="5">
        <f t="shared" si="31"/>
        <v>6.8114484161305569E-2</v>
      </c>
      <c r="AL91" s="5">
        <f t="shared" si="31"/>
        <v>9.7116741716513202E-2</v>
      </c>
      <c r="AM91" s="5">
        <f t="shared" si="31"/>
        <v>2.1949738822126905E-2</v>
      </c>
    </row>
    <row r="92" spans="1:39" x14ac:dyDescent="0.3">
      <c r="A92" t="s">
        <v>93</v>
      </c>
      <c r="L92">
        <v>1866.84</v>
      </c>
      <c r="M92">
        <f>N92+S92+T92+U92+Y92+AD92+AH92+AL92+AM92</f>
        <v>1866.84</v>
      </c>
      <c r="N92">
        <v>174.84</v>
      </c>
      <c r="O92">
        <v>0</v>
      </c>
      <c r="P92">
        <v>136.97</v>
      </c>
      <c r="Q92">
        <v>17.100000000000001</v>
      </c>
      <c r="R92">
        <v>20.77</v>
      </c>
      <c r="S92">
        <v>77.81</v>
      </c>
      <c r="T92">
        <v>237.81</v>
      </c>
      <c r="U92">
        <v>714.92</v>
      </c>
      <c r="V92">
        <v>177.65</v>
      </c>
      <c r="W92">
        <v>29.8</v>
      </c>
      <c r="X92">
        <v>507.47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490.33</v>
      </c>
      <c r="AE92">
        <v>243.7</v>
      </c>
      <c r="AF92">
        <v>240.28</v>
      </c>
      <c r="AG92">
        <v>6.35</v>
      </c>
      <c r="AH92">
        <v>51.36</v>
      </c>
      <c r="AI92">
        <v>44.42</v>
      </c>
      <c r="AJ92">
        <v>0</v>
      </c>
      <c r="AK92">
        <v>6.94</v>
      </c>
      <c r="AL92">
        <v>96.27</v>
      </c>
      <c r="AM92">
        <v>23.5</v>
      </c>
    </row>
    <row r="93" spans="1:39" x14ac:dyDescent="0.3">
      <c r="M93" s="19">
        <f>SUM(N93,S93,T93,U93,Y93,AD93,AH93,AL93,AM93)</f>
        <v>0.99999999999999989</v>
      </c>
      <c r="N93" s="5">
        <f>N92/$M$92</f>
        <v>9.3655589123867081E-2</v>
      </c>
      <c r="O93" s="5">
        <f t="shared" ref="O93:AM93" si="32">O92/$M$92</f>
        <v>0</v>
      </c>
      <c r="P93" s="5">
        <f t="shared" si="32"/>
        <v>7.3369972788241089E-2</v>
      </c>
      <c r="Q93" s="5">
        <f t="shared" si="32"/>
        <v>9.1598637269396429E-3</v>
      </c>
      <c r="R93" s="5">
        <f t="shared" si="32"/>
        <v>1.1125752608686337E-2</v>
      </c>
      <c r="S93" s="5">
        <f t="shared" si="32"/>
        <v>4.1680058280302544E-2</v>
      </c>
      <c r="T93" s="5">
        <f t="shared" si="32"/>
        <v>0.12738638554991322</v>
      </c>
      <c r="U93" s="5">
        <f t="shared" si="32"/>
        <v>0.3829572968224379</v>
      </c>
      <c r="V93" s="5">
        <f t="shared" si="32"/>
        <v>9.5160806496539616E-2</v>
      </c>
      <c r="W93" s="5">
        <f t="shared" si="32"/>
        <v>1.5962803453964992E-2</v>
      </c>
      <c r="X93" s="5">
        <f t="shared" si="32"/>
        <v>0.27183368687193332</v>
      </c>
      <c r="Y93" s="5">
        <f t="shared" si="32"/>
        <v>0</v>
      </c>
      <c r="Z93" s="5">
        <f t="shared" si="32"/>
        <v>0</v>
      </c>
      <c r="AA93" s="5">
        <f t="shared" si="32"/>
        <v>0</v>
      </c>
      <c r="AB93" s="5">
        <f t="shared" si="32"/>
        <v>0</v>
      </c>
      <c r="AC93" s="5">
        <f t="shared" si="32"/>
        <v>0</v>
      </c>
      <c r="AD93" s="5">
        <f t="shared" si="32"/>
        <v>0.26265239656317629</v>
      </c>
      <c r="AE93" s="5">
        <f t="shared" si="32"/>
        <v>0.13054144972252577</v>
      </c>
      <c r="AF93" s="5">
        <f t="shared" si="32"/>
        <v>0.12870947697713783</v>
      </c>
      <c r="AG93" s="5">
        <f t="shared" si="32"/>
        <v>3.401469863512674E-3</v>
      </c>
      <c r="AH93" s="5">
        <f t="shared" si="32"/>
        <v>2.7511731053545031E-2</v>
      </c>
      <c r="AI93" s="5">
        <f t="shared" si="32"/>
        <v>2.3794219108225666E-2</v>
      </c>
      <c r="AJ93" s="5">
        <f t="shared" si="32"/>
        <v>0</v>
      </c>
      <c r="AK93" s="5">
        <f t="shared" si="32"/>
        <v>3.7175119453193638E-3</v>
      </c>
      <c r="AL93" s="5">
        <f t="shared" si="32"/>
        <v>5.1568425789033874E-2</v>
      </c>
      <c r="AM93" s="5">
        <f t="shared" si="32"/>
        <v>1.2588116817724069E-2</v>
      </c>
    </row>
    <row r="94" spans="1:39" x14ac:dyDescent="0.3">
      <c r="A94" t="s">
        <v>94</v>
      </c>
      <c r="L94">
        <v>27374.92</v>
      </c>
      <c r="M94">
        <f>N94+S94+T94+U94+Y94+AD94+AH94+AL94+AM94</f>
        <v>27374.92</v>
      </c>
      <c r="N94">
        <v>2608.7600000000002</v>
      </c>
      <c r="O94">
        <v>1877.92</v>
      </c>
      <c r="P94">
        <v>380.78</v>
      </c>
      <c r="Q94">
        <v>423.84</v>
      </c>
      <c r="R94">
        <v>106.22</v>
      </c>
      <c r="S94">
        <v>0</v>
      </c>
      <c r="T94">
        <v>477</v>
      </c>
      <c r="U94">
        <v>2143.7399999999998</v>
      </c>
      <c r="V94">
        <v>462.65</v>
      </c>
      <c r="W94">
        <v>139.63999999999999</v>
      </c>
      <c r="X94">
        <v>1541.45</v>
      </c>
      <c r="Y94">
        <v>435.94</v>
      </c>
      <c r="Z94">
        <v>334.46</v>
      </c>
      <c r="AA94">
        <v>96.84</v>
      </c>
      <c r="AB94">
        <v>2.02</v>
      </c>
      <c r="AC94">
        <v>2.98</v>
      </c>
      <c r="AD94">
        <v>20061.71</v>
      </c>
      <c r="AE94">
        <v>2335.0100000000002</v>
      </c>
      <c r="AF94">
        <v>17726.7</v>
      </c>
      <c r="AG94">
        <v>0</v>
      </c>
      <c r="AH94">
        <v>207.9</v>
      </c>
      <c r="AI94">
        <v>110.34</v>
      </c>
      <c r="AJ94">
        <v>0</v>
      </c>
      <c r="AK94">
        <v>97.56</v>
      </c>
      <c r="AL94">
        <v>49.36</v>
      </c>
      <c r="AM94">
        <v>1390.51</v>
      </c>
    </row>
    <row r="95" spans="1:39" x14ac:dyDescent="0.3">
      <c r="M95" s="19">
        <f>SUM(N95,S95,T95,U95,Y95,AD95,AH95,AL95,AM95)</f>
        <v>1</v>
      </c>
      <c r="N95" s="5">
        <f>N94/$M$94</f>
        <v>9.5297447444595285E-2</v>
      </c>
      <c r="O95" s="5">
        <f t="shared" ref="O95:AI95" si="33">O94/$M$94</f>
        <v>6.8600017826536117E-2</v>
      </c>
      <c r="P95" s="5">
        <f t="shared" si="33"/>
        <v>1.3909812339177612E-2</v>
      </c>
      <c r="Q95" s="5">
        <f t="shared" si="33"/>
        <v>1.5482784972522295E-2</v>
      </c>
      <c r="R95" s="5">
        <f t="shared" si="33"/>
        <v>3.8801939877815168E-3</v>
      </c>
      <c r="S95" s="5">
        <f t="shared" si="33"/>
        <v>0</v>
      </c>
      <c r="T95" s="5">
        <f t="shared" si="33"/>
        <v>1.7424708455769003E-2</v>
      </c>
      <c r="U95" s="5">
        <f t="shared" si="33"/>
        <v>7.831036583851203E-2</v>
      </c>
      <c r="V95" s="5">
        <f t="shared" si="33"/>
        <v>1.6900506010611174E-2</v>
      </c>
      <c r="W95" s="5">
        <f t="shared" si="33"/>
        <v>5.1010194732989175E-3</v>
      </c>
      <c r="X95" s="5">
        <f t="shared" si="33"/>
        <v>5.6308840354601958E-2</v>
      </c>
      <c r="Y95" s="5">
        <f t="shared" si="33"/>
        <v>1.5924795396662347E-2</v>
      </c>
      <c r="Z95" s="5">
        <f t="shared" si="33"/>
        <v>1.2217752599824949E-2</v>
      </c>
      <c r="AA95" s="5">
        <f t="shared" si="33"/>
        <v>3.537544584605179E-3</v>
      </c>
      <c r="AB95" s="5">
        <f t="shared" si="33"/>
        <v>7.3790169980405426E-5</v>
      </c>
      <c r="AC95" s="5">
        <f t="shared" si="33"/>
        <v>1.0885876561465751E-4</v>
      </c>
      <c r="AD95" s="5">
        <f t="shared" si="33"/>
        <v>0.73284999554336594</v>
      </c>
      <c r="AE95" s="5">
        <f t="shared" si="33"/>
        <v>8.5297418220765586E-2</v>
      </c>
      <c r="AF95" s="5">
        <f t="shared" si="33"/>
        <v>0.64755257732260041</v>
      </c>
      <c r="AG95" s="5">
        <f t="shared" si="33"/>
        <v>0</v>
      </c>
      <c r="AH95" s="5">
        <f t="shared" si="33"/>
        <v>7.5945427420427173E-3</v>
      </c>
      <c r="AI95" s="5">
        <f t="shared" si="33"/>
        <v>4.030696710711849E-3</v>
      </c>
      <c r="AJ95" s="5">
        <f>AJ94/$M$94</f>
        <v>0</v>
      </c>
      <c r="AK95" s="5">
        <f>AK94/$M$94</f>
        <v>3.5638460313308683E-3</v>
      </c>
      <c r="AL95" s="5">
        <f>AL94/$M$94</f>
        <v>1.8031102921944612E-3</v>
      </c>
      <c r="AM95" s="5">
        <f>AM94/$M$94</f>
        <v>5.0795034286858193E-2</v>
      </c>
    </row>
    <row r="96" spans="1:39" x14ac:dyDescent="0.3">
      <c r="A96" t="s">
        <v>96</v>
      </c>
      <c r="C96" t="s">
        <v>95</v>
      </c>
      <c r="L96">
        <v>7475.97</v>
      </c>
      <c r="M96">
        <f>N96+S96+T96+U96+Y96+AD96+AH96+AL96+AM96</f>
        <v>7475.9699999999993</v>
      </c>
      <c r="N96">
        <v>1408.67</v>
      </c>
      <c r="O96">
        <v>0</v>
      </c>
      <c r="P96">
        <v>0</v>
      </c>
      <c r="Q96">
        <v>971.69</v>
      </c>
      <c r="R96">
        <v>436.98</v>
      </c>
      <c r="S96">
        <v>0</v>
      </c>
      <c r="T96">
        <v>1399.86</v>
      </c>
      <c r="U96">
        <v>3454.62</v>
      </c>
      <c r="V96">
        <v>669.98</v>
      </c>
      <c r="W96">
        <v>93.04</v>
      </c>
      <c r="X96">
        <v>2691.6</v>
      </c>
      <c r="Y96">
        <v>451.55</v>
      </c>
      <c r="Z96">
        <v>109.76</v>
      </c>
      <c r="AA96">
        <v>341.79</v>
      </c>
      <c r="AB96">
        <v>0</v>
      </c>
      <c r="AC96">
        <v>0</v>
      </c>
      <c r="AD96">
        <v>323.66000000000003</v>
      </c>
      <c r="AE96">
        <v>30.48</v>
      </c>
      <c r="AF96">
        <v>293.18</v>
      </c>
      <c r="AG96">
        <v>0</v>
      </c>
      <c r="AH96">
        <v>395.93</v>
      </c>
      <c r="AI96">
        <v>367.57</v>
      </c>
      <c r="AJ96">
        <v>0</v>
      </c>
      <c r="AK96">
        <v>28.36</v>
      </c>
      <c r="AL96">
        <v>9.4499999999999993</v>
      </c>
      <c r="AM96">
        <v>32.229999999999997</v>
      </c>
    </row>
    <row r="97" spans="1:39" x14ac:dyDescent="0.3">
      <c r="M97" s="19">
        <f>SUM(N97,S97,T97,U97,Y97,AD97,AH97,AL97,AM97)</f>
        <v>1</v>
      </c>
      <c r="N97" s="5">
        <f>N96/$M$96</f>
        <v>0.18842638480357735</v>
      </c>
      <c r="O97" s="5">
        <f t="shared" ref="O97:AM97" si="34">O96/$M$96</f>
        <v>0</v>
      </c>
      <c r="P97" s="5">
        <f t="shared" si="34"/>
        <v>0</v>
      </c>
      <c r="Q97" s="5">
        <f t="shared" si="34"/>
        <v>0.12997510690920377</v>
      </c>
      <c r="R97" s="5">
        <f t="shared" si="34"/>
        <v>5.8451277894373578E-2</v>
      </c>
      <c r="S97" s="5">
        <f t="shared" si="34"/>
        <v>0</v>
      </c>
      <c r="T97" s="5">
        <f t="shared" si="34"/>
        <v>0.18724794240747356</v>
      </c>
      <c r="U97" s="5">
        <f t="shared" si="34"/>
        <v>0.46209655736981292</v>
      </c>
      <c r="V97" s="5">
        <f t="shared" si="34"/>
        <v>8.9617802104609845E-2</v>
      </c>
      <c r="W97" s="5">
        <f t="shared" si="34"/>
        <v>1.2445207779057435E-2</v>
      </c>
      <c r="X97" s="5">
        <f t="shared" si="34"/>
        <v>0.36003354748614563</v>
      </c>
      <c r="Y97" s="5">
        <f t="shared" si="34"/>
        <v>6.0400188871811956E-2</v>
      </c>
      <c r="Z97" s="5">
        <f t="shared" si="34"/>
        <v>1.4681706855431471E-2</v>
      </c>
      <c r="AA97" s="5">
        <f t="shared" si="34"/>
        <v>4.5718482016380492E-2</v>
      </c>
      <c r="AB97" s="5">
        <f t="shared" si="34"/>
        <v>0</v>
      </c>
      <c r="AC97" s="5">
        <f t="shared" si="34"/>
        <v>0</v>
      </c>
      <c r="AD97" s="5">
        <f t="shared" si="34"/>
        <v>4.3293378651867255E-2</v>
      </c>
      <c r="AE97" s="5">
        <f t="shared" si="34"/>
        <v>4.0770629095622382E-3</v>
      </c>
      <c r="AF97" s="5">
        <f t="shared" si="34"/>
        <v>3.9216315742305018E-2</v>
      </c>
      <c r="AG97" s="5">
        <f t="shared" si="34"/>
        <v>0</v>
      </c>
      <c r="AH97" s="5">
        <f t="shared" si="34"/>
        <v>5.2960351633299763E-2</v>
      </c>
      <c r="AI97" s="5">
        <f t="shared" si="34"/>
        <v>4.916686396547873E-2</v>
      </c>
      <c r="AJ97" s="5">
        <f t="shared" si="34"/>
        <v>0</v>
      </c>
      <c r="AK97" s="5">
        <f t="shared" si="34"/>
        <v>3.7934876678210323E-3</v>
      </c>
      <c r="AL97" s="5">
        <f t="shared" si="34"/>
        <v>1.2640500162520716E-3</v>
      </c>
      <c r="AM97" s="5">
        <f t="shared" si="34"/>
        <v>4.3111462459052138E-3</v>
      </c>
    </row>
    <row r="98" spans="1:39" x14ac:dyDescent="0.3">
      <c r="A98" t="s">
        <v>97</v>
      </c>
      <c r="L98">
        <v>6175.94</v>
      </c>
      <c r="M98">
        <f>N98+S98+T98+U98+Y98+AD98+AH98+AL98+AM98</f>
        <v>6175.94</v>
      </c>
      <c r="N98">
        <v>1763.38</v>
      </c>
      <c r="O98">
        <v>0</v>
      </c>
      <c r="P98">
        <v>0.93</v>
      </c>
      <c r="Q98">
        <v>550.11</v>
      </c>
      <c r="R98">
        <v>1212.3399999999999</v>
      </c>
      <c r="S98">
        <v>0</v>
      </c>
      <c r="T98">
        <v>582.89</v>
      </c>
      <c r="U98">
        <v>2807.43</v>
      </c>
      <c r="V98">
        <v>1067.92</v>
      </c>
      <c r="W98">
        <v>163.69</v>
      </c>
      <c r="X98">
        <v>1575.82</v>
      </c>
      <c r="Y98">
        <v>31.34</v>
      </c>
      <c r="Z98">
        <v>31.34</v>
      </c>
      <c r="AA98">
        <v>0</v>
      </c>
      <c r="AB98">
        <v>0</v>
      </c>
      <c r="AC98">
        <v>0</v>
      </c>
      <c r="AD98">
        <v>389.32</v>
      </c>
      <c r="AE98">
        <v>37.549999999999997</v>
      </c>
      <c r="AF98">
        <v>350.63</v>
      </c>
      <c r="AG98">
        <v>1.1399999999999999</v>
      </c>
      <c r="AH98">
        <v>142.88999999999999</v>
      </c>
      <c r="AI98">
        <v>48.65</v>
      </c>
      <c r="AJ98">
        <v>0</v>
      </c>
      <c r="AK98">
        <v>94.24</v>
      </c>
      <c r="AL98">
        <v>8.82</v>
      </c>
      <c r="AM98">
        <v>449.87</v>
      </c>
    </row>
    <row r="99" spans="1:39" x14ac:dyDescent="0.3">
      <c r="M99" s="19">
        <f>SUM(N99,S99,T99,U99,Y99,AD99,AH99,AL99,AM99)</f>
        <v>1.0000000000000002</v>
      </c>
      <c r="N99" s="5">
        <f>N98/$M$98</f>
        <v>0.28552414693147932</v>
      </c>
      <c r="O99" s="5">
        <f t="shared" ref="O99:AM99" si="35">O98/$M$98</f>
        <v>0</v>
      </c>
      <c r="P99" s="5">
        <f t="shared" si="35"/>
        <v>1.5058436448540629E-4</v>
      </c>
      <c r="Q99" s="5">
        <f t="shared" si="35"/>
        <v>8.9073080373190158E-2</v>
      </c>
      <c r="R99" s="5">
        <f t="shared" si="35"/>
        <v>0.19630048219380369</v>
      </c>
      <c r="S99" s="5">
        <f t="shared" si="35"/>
        <v>0</v>
      </c>
      <c r="T99" s="5">
        <f t="shared" si="35"/>
        <v>9.4380774424622005E-2</v>
      </c>
      <c r="U99" s="5">
        <f t="shared" si="35"/>
        <v>0.45457533590028398</v>
      </c>
      <c r="V99" s="5">
        <f t="shared" si="35"/>
        <v>0.17291618765726352</v>
      </c>
      <c r="W99" s="5">
        <f t="shared" si="35"/>
        <v>2.6504467336146403E-2</v>
      </c>
      <c r="X99" s="5">
        <f t="shared" si="35"/>
        <v>0.2551546809068741</v>
      </c>
      <c r="Y99" s="5">
        <f t="shared" si="35"/>
        <v>5.0745311644867022E-3</v>
      </c>
      <c r="Z99" s="5">
        <f t="shared" si="35"/>
        <v>5.0745311644867022E-3</v>
      </c>
      <c r="AA99" s="5">
        <f t="shared" si="35"/>
        <v>0</v>
      </c>
      <c r="AB99" s="5">
        <f t="shared" si="35"/>
        <v>0</v>
      </c>
      <c r="AC99" s="5">
        <f t="shared" si="35"/>
        <v>0</v>
      </c>
      <c r="AD99" s="5">
        <f t="shared" si="35"/>
        <v>6.3038177184363844E-2</v>
      </c>
      <c r="AE99" s="5">
        <f t="shared" si="35"/>
        <v>6.0800461144376403E-3</v>
      </c>
      <c r="AF99" s="5">
        <f t="shared" si="35"/>
        <v>5.6773543784427963E-2</v>
      </c>
      <c r="AG99" s="5">
        <f t="shared" si="35"/>
        <v>1.8458728549823993E-4</v>
      </c>
      <c r="AH99" s="5">
        <f t="shared" si="35"/>
        <v>2.3136558969160968E-2</v>
      </c>
      <c r="AI99" s="5">
        <f t="shared" si="35"/>
        <v>7.8773433679731348E-3</v>
      </c>
      <c r="AJ99" s="5">
        <f t="shared" si="35"/>
        <v>0</v>
      </c>
      <c r="AK99" s="5">
        <f t="shared" si="35"/>
        <v>1.5259215601187835E-2</v>
      </c>
      <c r="AL99" s="5">
        <f t="shared" si="35"/>
        <v>1.4281226825390144E-3</v>
      </c>
      <c r="AM99" s="5">
        <f t="shared" si="35"/>
        <v>7.284235274306422E-2</v>
      </c>
    </row>
    <row r="100" spans="1:39" x14ac:dyDescent="0.3">
      <c r="A100" t="s">
        <v>98</v>
      </c>
      <c r="L100">
        <v>1955.02</v>
      </c>
      <c r="M100">
        <f>N100+S100+T100+U100+Y100+AD100+AH100+AL100+AM100</f>
        <v>1955.02</v>
      </c>
      <c r="N100">
        <v>395.03</v>
      </c>
      <c r="O100">
        <v>0</v>
      </c>
      <c r="P100">
        <v>5.28</v>
      </c>
      <c r="Q100">
        <v>313.64</v>
      </c>
      <c r="R100">
        <v>76.11</v>
      </c>
      <c r="S100">
        <v>0</v>
      </c>
      <c r="T100">
        <v>360.5</v>
      </c>
      <c r="U100">
        <v>246.2</v>
      </c>
      <c r="V100">
        <v>32.340000000000003</v>
      </c>
      <c r="W100">
        <v>11</v>
      </c>
      <c r="X100">
        <v>202.86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547.29</v>
      </c>
      <c r="AE100">
        <v>170.03</v>
      </c>
      <c r="AF100">
        <v>341.19</v>
      </c>
      <c r="AG100">
        <v>36.07</v>
      </c>
      <c r="AH100">
        <v>0</v>
      </c>
      <c r="AI100">
        <v>0</v>
      </c>
      <c r="AJ100">
        <v>0</v>
      </c>
      <c r="AK100">
        <v>0</v>
      </c>
      <c r="AL100">
        <v>0.7</v>
      </c>
      <c r="AM100">
        <v>405.3</v>
      </c>
    </row>
    <row r="101" spans="1:39" x14ac:dyDescent="0.3">
      <c r="M101" s="19">
        <f>SUM(N101,S101,T101,U101,Y101,AD101,AH101,AL101,AM101)</f>
        <v>1</v>
      </c>
      <c r="N101" s="5">
        <f>N100/$M$100</f>
        <v>0.20205931397121255</v>
      </c>
      <c r="O101" s="5">
        <f t="shared" ref="O101:AM101" si="36">O100/$M$100</f>
        <v>0</v>
      </c>
      <c r="P101" s="5">
        <f t="shared" si="36"/>
        <v>2.7007396343771421E-3</v>
      </c>
      <c r="Q101" s="5">
        <f t="shared" si="36"/>
        <v>0.16042802631175129</v>
      </c>
      <c r="R101" s="5">
        <f t="shared" si="36"/>
        <v>3.8930548025084145E-2</v>
      </c>
      <c r="S101" s="5">
        <f t="shared" si="36"/>
        <v>0</v>
      </c>
      <c r="T101" s="5">
        <f t="shared" si="36"/>
        <v>0.18439709056684842</v>
      </c>
      <c r="U101" s="5">
        <f t="shared" si="36"/>
        <v>0.12593221552720688</v>
      </c>
      <c r="V101" s="5">
        <f t="shared" si="36"/>
        <v>1.6542030260559996E-2</v>
      </c>
      <c r="W101" s="5">
        <f t="shared" si="36"/>
        <v>5.6265409049523788E-3</v>
      </c>
      <c r="X101" s="5">
        <f t="shared" si="36"/>
        <v>0.10376364436169452</v>
      </c>
      <c r="Y101" s="5">
        <f t="shared" si="36"/>
        <v>0</v>
      </c>
      <c r="Z101" s="5">
        <f t="shared" si="36"/>
        <v>0</v>
      </c>
      <c r="AA101" s="5">
        <f t="shared" si="36"/>
        <v>0</v>
      </c>
      <c r="AB101" s="5">
        <f t="shared" si="36"/>
        <v>0</v>
      </c>
      <c r="AC101" s="5">
        <f t="shared" si="36"/>
        <v>0</v>
      </c>
      <c r="AD101" s="5">
        <f t="shared" si="36"/>
        <v>0.27994087017012614</v>
      </c>
      <c r="AE101" s="5">
        <f t="shared" si="36"/>
        <v>8.6970977279004824E-2</v>
      </c>
      <c r="AF101" s="5">
        <f t="shared" si="36"/>
        <v>0.17451995376006382</v>
      </c>
      <c r="AG101" s="5">
        <f t="shared" si="36"/>
        <v>1.8449939131057483E-2</v>
      </c>
      <c r="AH101" s="5">
        <f t="shared" si="36"/>
        <v>0</v>
      </c>
      <c r="AI101" s="5">
        <f t="shared" si="36"/>
        <v>0</v>
      </c>
      <c r="AJ101" s="5">
        <f t="shared" si="36"/>
        <v>0</v>
      </c>
      <c r="AK101" s="5">
        <f t="shared" si="36"/>
        <v>0</v>
      </c>
      <c r="AL101" s="5">
        <f t="shared" si="36"/>
        <v>3.5805260304242408E-4</v>
      </c>
      <c r="AM101" s="5">
        <f t="shared" si="36"/>
        <v>0.20731245716156357</v>
      </c>
    </row>
    <row r="102" spans="1:39" x14ac:dyDescent="0.3">
      <c r="A102" t="s">
        <v>99</v>
      </c>
      <c r="L102">
        <v>10798.11</v>
      </c>
      <c r="M102">
        <f>N102+S102+T102+U102+Y102+AD102+AH102+AL102+AM102</f>
        <v>10798.11</v>
      </c>
      <c r="N102">
        <v>2068.8200000000002</v>
      </c>
      <c r="O102">
        <v>1028.32</v>
      </c>
      <c r="P102">
        <v>423.3</v>
      </c>
      <c r="Q102">
        <v>557.34</v>
      </c>
      <c r="R102">
        <v>59.86</v>
      </c>
      <c r="S102">
        <v>0</v>
      </c>
      <c r="T102">
        <v>787.19</v>
      </c>
      <c r="U102">
        <v>1950.23</v>
      </c>
      <c r="V102">
        <v>565.85</v>
      </c>
      <c r="W102">
        <v>179.17</v>
      </c>
      <c r="X102">
        <v>1205.21</v>
      </c>
      <c r="Y102">
        <v>256.33</v>
      </c>
      <c r="Z102">
        <v>163.63</v>
      </c>
      <c r="AA102">
        <v>89.73</v>
      </c>
      <c r="AB102">
        <v>0</v>
      </c>
      <c r="AC102">
        <v>2.97</v>
      </c>
      <c r="AD102">
        <v>5043.84</v>
      </c>
      <c r="AE102">
        <v>221.7</v>
      </c>
      <c r="AF102">
        <v>4822.1400000000003</v>
      </c>
      <c r="AG102">
        <v>0</v>
      </c>
      <c r="AH102">
        <v>256.64999999999998</v>
      </c>
      <c r="AI102">
        <v>130.97999999999999</v>
      </c>
      <c r="AJ102">
        <v>0</v>
      </c>
      <c r="AK102">
        <v>125.67</v>
      </c>
      <c r="AL102">
        <v>236.44</v>
      </c>
      <c r="AM102">
        <v>198.61</v>
      </c>
    </row>
    <row r="103" spans="1:39" x14ac:dyDescent="0.3">
      <c r="M103" s="19">
        <f>SUM(N103,S103,T103,U103,Y103,AD103,AH103,AL103,AM103)</f>
        <v>1</v>
      </c>
      <c r="N103" s="5">
        <f>N102/$M$102</f>
        <v>0.19159093582117612</v>
      </c>
      <c r="O103" s="5">
        <f t="shared" ref="O103:AM103" si="37">O102/$M$102</f>
        <v>9.5231480323871479E-2</v>
      </c>
      <c r="P103" s="5">
        <f t="shared" si="37"/>
        <v>3.9201304672762179E-2</v>
      </c>
      <c r="Q103" s="5">
        <f t="shared" si="37"/>
        <v>5.1614588108474538E-2</v>
      </c>
      <c r="R103" s="5">
        <f t="shared" si="37"/>
        <v>5.5435627160679039E-3</v>
      </c>
      <c r="S103" s="5">
        <f t="shared" si="37"/>
        <v>0</v>
      </c>
      <c r="T103" s="5">
        <f t="shared" si="37"/>
        <v>7.2900720589066048E-2</v>
      </c>
      <c r="U103" s="5">
        <f t="shared" si="37"/>
        <v>0.18060845833205996</v>
      </c>
      <c r="V103" s="5">
        <f t="shared" si="37"/>
        <v>5.240268898909161E-2</v>
      </c>
      <c r="W103" s="5">
        <f t="shared" si="37"/>
        <v>1.6592718540559409E-2</v>
      </c>
      <c r="X103" s="5">
        <f t="shared" si="37"/>
        <v>0.11161305080240894</v>
      </c>
      <c r="Y103" s="5">
        <f t="shared" si="37"/>
        <v>2.373841348161854E-2</v>
      </c>
      <c r="Z103" s="5">
        <f t="shared" si="37"/>
        <v>1.5153577802041282E-2</v>
      </c>
      <c r="AA103" s="5">
        <f t="shared" si="37"/>
        <v>8.3097875461539093E-3</v>
      </c>
      <c r="AB103" s="5">
        <f t="shared" si="37"/>
        <v>0</v>
      </c>
      <c r="AC103" s="5">
        <f t="shared" si="37"/>
        <v>2.750481334233491E-4</v>
      </c>
      <c r="AD103" s="5">
        <f t="shared" si="37"/>
        <v>0.46710396541617005</v>
      </c>
      <c r="AE103" s="5">
        <f t="shared" si="37"/>
        <v>2.0531370767662118E-2</v>
      </c>
      <c r="AF103" s="5">
        <f t="shared" si="37"/>
        <v>0.44657259464850796</v>
      </c>
      <c r="AG103" s="5">
        <f t="shared" si="37"/>
        <v>0</v>
      </c>
      <c r="AH103" s="5">
        <f t="shared" si="37"/>
        <v>2.3768048297340919E-2</v>
      </c>
      <c r="AI103" s="5">
        <f t="shared" si="37"/>
        <v>1.212990051036709E-2</v>
      </c>
      <c r="AJ103" s="5">
        <f t="shared" si="37"/>
        <v>0</v>
      </c>
      <c r="AK103" s="5">
        <f t="shared" si="37"/>
        <v>1.1638147786973831E-2</v>
      </c>
      <c r="AL103" s="5">
        <f t="shared" si="37"/>
        <v>2.1896424466874294E-2</v>
      </c>
      <c r="AM103" s="5">
        <f t="shared" si="37"/>
        <v>1.8393033595694063E-2</v>
      </c>
    </row>
    <row r="104" spans="1:39" x14ac:dyDescent="0.3">
      <c r="A104" t="s">
        <v>100</v>
      </c>
      <c r="L104">
        <v>11015.03</v>
      </c>
      <c r="M104">
        <f>N104+S104+T104+U104+Y104+AD104+AH104+AL104+AM104</f>
        <v>11015.03</v>
      </c>
      <c r="N104">
        <v>3089.39</v>
      </c>
      <c r="O104">
        <v>766.96</v>
      </c>
      <c r="P104">
        <v>336.07</v>
      </c>
      <c r="Q104">
        <v>171.17</v>
      </c>
      <c r="R104">
        <v>1815.19</v>
      </c>
      <c r="S104">
        <v>0</v>
      </c>
      <c r="T104">
        <v>896.19</v>
      </c>
      <c r="U104">
        <v>3034.93</v>
      </c>
      <c r="V104">
        <v>763.48</v>
      </c>
      <c r="W104">
        <v>480.42</v>
      </c>
      <c r="X104">
        <v>1791.03</v>
      </c>
      <c r="Y104">
        <v>375.47</v>
      </c>
      <c r="Z104">
        <v>71.010000000000005</v>
      </c>
      <c r="AA104">
        <v>304.45999999999998</v>
      </c>
      <c r="AB104">
        <v>0</v>
      </c>
      <c r="AC104">
        <v>0</v>
      </c>
      <c r="AD104">
        <v>3007.92</v>
      </c>
      <c r="AE104">
        <v>250.87</v>
      </c>
      <c r="AF104">
        <v>2665.91</v>
      </c>
      <c r="AG104">
        <v>91.14</v>
      </c>
      <c r="AH104">
        <v>277.08</v>
      </c>
      <c r="AI104">
        <v>64.59</v>
      </c>
      <c r="AJ104">
        <v>0</v>
      </c>
      <c r="AK104">
        <v>212.49</v>
      </c>
      <c r="AL104">
        <v>6.15</v>
      </c>
      <c r="AM104">
        <v>327.9</v>
      </c>
    </row>
    <row r="105" spans="1:39" x14ac:dyDescent="0.3">
      <c r="M105" s="19">
        <f>SUM(N105,S105,T105,U105,Y105,AD105,AH105,AL105,AM105)</f>
        <v>0.99999999999999989</v>
      </c>
      <c r="N105" s="5">
        <f>N104/$M$104</f>
        <v>0.28047041179188797</v>
      </c>
      <c r="O105" s="5">
        <f t="shared" ref="O105:AM105" si="38">O104/$M$104</f>
        <v>6.962849851521058E-2</v>
      </c>
      <c r="P105" s="5">
        <f t="shared" si="38"/>
        <v>3.0510130249304813E-2</v>
      </c>
      <c r="Q105" s="5">
        <f t="shared" si="38"/>
        <v>1.553967624237065E-2</v>
      </c>
      <c r="R105" s="5">
        <f t="shared" si="38"/>
        <v>0.16479210678500195</v>
      </c>
      <c r="S105" s="5">
        <f t="shared" si="38"/>
        <v>0</v>
      </c>
      <c r="T105" s="5">
        <f t="shared" si="38"/>
        <v>8.136064994829792E-2</v>
      </c>
      <c r="U105" s="5">
        <f t="shared" si="38"/>
        <v>0.27552625821264215</v>
      </c>
      <c r="V105" s="5">
        <f t="shared" si="38"/>
        <v>6.9312566556786498E-2</v>
      </c>
      <c r="W105" s="5">
        <f t="shared" si="38"/>
        <v>4.3614951570717465E-2</v>
      </c>
      <c r="X105" s="5">
        <f t="shared" si="38"/>
        <v>0.16259874008513819</v>
      </c>
      <c r="Y105" s="5">
        <f t="shared" si="38"/>
        <v>3.4087061042956758E-2</v>
      </c>
      <c r="Z105" s="5">
        <f t="shared" si="38"/>
        <v>6.4466460826706779E-3</v>
      </c>
      <c r="AA105" s="5">
        <f t="shared" si="38"/>
        <v>2.7640414960286078E-2</v>
      </c>
      <c r="AB105" s="5">
        <f t="shared" si="38"/>
        <v>0</v>
      </c>
      <c r="AC105" s="5">
        <f t="shared" si="38"/>
        <v>0</v>
      </c>
      <c r="AD105" s="5">
        <f t="shared" si="38"/>
        <v>0.2730741541330346</v>
      </c>
      <c r="AE105" s="5">
        <f t="shared" si="38"/>
        <v>2.2775244370646288E-2</v>
      </c>
      <c r="AF105" s="5">
        <f t="shared" si="38"/>
        <v>0.24202476071331624</v>
      </c>
      <c r="AG105" s="5">
        <f t="shared" si="38"/>
        <v>8.2741490490720396E-3</v>
      </c>
      <c r="AH105" s="5">
        <f t="shared" si="38"/>
        <v>2.5154720413834548E-2</v>
      </c>
      <c r="AI105" s="5">
        <f t="shared" si="38"/>
        <v>5.8638060904055642E-3</v>
      </c>
      <c r="AJ105" s="5">
        <f t="shared" si="38"/>
        <v>0</v>
      </c>
      <c r="AK105" s="5">
        <f t="shared" si="38"/>
        <v>1.9290914323428988E-2</v>
      </c>
      <c r="AL105" s="5">
        <f t="shared" si="38"/>
        <v>5.5832802997359064E-4</v>
      </c>
      <c r="AM105" s="5">
        <f t="shared" si="38"/>
        <v>2.9768416427372414E-2</v>
      </c>
    </row>
    <row r="106" spans="1:39" x14ac:dyDescent="0.3">
      <c r="A106" t="s">
        <v>101</v>
      </c>
      <c r="L106">
        <v>24023.200000000001</v>
      </c>
      <c r="M106">
        <f>N106+S106+T106+U106+Y106+AD106+AH106+AL106+AM106</f>
        <v>24023.200000000001</v>
      </c>
      <c r="N106">
        <v>4546.28</v>
      </c>
      <c r="O106">
        <v>1358.71</v>
      </c>
      <c r="P106">
        <v>1546.05</v>
      </c>
      <c r="Q106">
        <v>590.69000000000005</v>
      </c>
      <c r="R106">
        <v>1050.83</v>
      </c>
      <c r="S106">
        <v>0</v>
      </c>
      <c r="T106">
        <v>1867.75</v>
      </c>
      <c r="U106">
        <v>6663.89</v>
      </c>
      <c r="V106">
        <v>2938.08</v>
      </c>
      <c r="W106">
        <v>185.66</v>
      </c>
      <c r="X106">
        <v>3539.57</v>
      </c>
      <c r="Y106">
        <v>5246.92</v>
      </c>
      <c r="Z106">
        <v>526.03</v>
      </c>
      <c r="AA106">
        <v>3031.41</v>
      </c>
      <c r="AB106">
        <v>0</v>
      </c>
      <c r="AC106">
        <v>1689.48</v>
      </c>
      <c r="AD106">
        <v>3950.79</v>
      </c>
      <c r="AE106">
        <v>481.74</v>
      </c>
      <c r="AF106">
        <v>3469.05</v>
      </c>
      <c r="AG106">
        <v>0</v>
      </c>
      <c r="AH106">
        <v>672.83</v>
      </c>
      <c r="AI106">
        <v>163.66999999999999</v>
      </c>
      <c r="AJ106">
        <v>0</v>
      </c>
      <c r="AK106">
        <v>509.16</v>
      </c>
      <c r="AL106">
        <v>848.21</v>
      </c>
      <c r="AM106">
        <v>226.53</v>
      </c>
    </row>
    <row r="107" spans="1:39" x14ac:dyDescent="0.3">
      <c r="M107" s="19">
        <f>SUM(N107,S107,T107,U107,Y107,AD107,AH107,AL107,AM107)</f>
        <v>1</v>
      </c>
      <c r="N107" s="5">
        <f>N106/$M$106</f>
        <v>0.18924539611708679</v>
      </c>
      <c r="O107" s="5">
        <f t="shared" ref="O107:AM107" si="39">O106/$M$106</f>
        <v>5.6558243697758831E-2</v>
      </c>
      <c r="P107" s="5">
        <f t="shared" si="39"/>
        <v>6.4356538679276695E-2</v>
      </c>
      <c r="Q107" s="5">
        <f t="shared" si="39"/>
        <v>2.4588314629191782E-2</v>
      </c>
      <c r="R107" s="5">
        <f t="shared" si="39"/>
        <v>4.3742299110859501E-2</v>
      </c>
      <c r="S107" s="5">
        <f t="shared" si="39"/>
        <v>0</v>
      </c>
      <c r="T107" s="5">
        <f t="shared" si="39"/>
        <v>7.7747760498185089E-2</v>
      </c>
      <c r="U107" s="5">
        <f t="shared" si="39"/>
        <v>0.27739393586200006</v>
      </c>
      <c r="V107" s="5">
        <f t="shared" si="39"/>
        <v>0.12230177495088081</v>
      </c>
      <c r="W107" s="5">
        <f t="shared" si="39"/>
        <v>7.7283625828365905E-3</v>
      </c>
      <c r="X107" s="5">
        <f t="shared" si="39"/>
        <v>0.14733965500016652</v>
      </c>
      <c r="Y107" s="5">
        <f t="shared" si="39"/>
        <v>0.2184105364814013</v>
      </c>
      <c r="Z107" s="5">
        <f t="shared" si="39"/>
        <v>2.1896749808518429E-2</v>
      </c>
      <c r="AA107" s="5">
        <f t="shared" si="39"/>
        <v>0.12618676945619234</v>
      </c>
      <c r="AB107" s="5">
        <f t="shared" si="39"/>
        <v>0</v>
      </c>
      <c r="AC107" s="5">
        <f t="shared" si="39"/>
        <v>7.0327017216690532E-2</v>
      </c>
      <c r="AD107" s="5">
        <f t="shared" si="39"/>
        <v>0.16445727463451995</v>
      </c>
      <c r="AE107" s="5">
        <f t="shared" si="39"/>
        <v>2.0053115321855539E-2</v>
      </c>
      <c r="AF107" s="5">
        <f t="shared" si="39"/>
        <v>0.14440415931266443</v>
      </c>
      <c r="AG107" s="5">
        <f t="shared" si="39"/>
        <v>0</v>
      </c>
      <c r="AH107" s="5">
        <f t="shared" si="39"/>
        <v>2.800750940757268E-2</v>
      </c>
      <c r="AI107" s="5">
        <f t="shared" si="39"/>
        <v>6.8129974358120474E-3</v>
      </c>
      <c r="AJ107" s="5">
        <f t="shared" si="39"/>
        <v>0</v>
      </c>
      <c r="AK107" s="5">
        <f t="shared" si="39"/>
        <v>2.1194511971760633E-2</v>
      </c>
      <c r="AL107" s="5">
        <f t="shared" si="39"/>
        <v>3.5307952312764325E-2</v>
      </c>
      <c r="AM107" s="5">
        <f t="shared" si="39"/>
        <v>9.4296346864697449E-3</v>
      </c>
    </row>
    <row r="108" spans="1:39" x14ac:dyDescent="0.3">
      <c r="A108" t="s">
        <v>102</v>
      </c>
      <c r="L108">
        <v>3751.87</v>
      </c>
      <c r="M108">
        <f>N108+S108+T108+U108+Y108+AD108+AH108+AL108+AM108</f>
        <v>3751.8700000000003</v>
      </c>
      <c r="N108">
        <v>1187.75</v>
      </c>
      <c r="O108">
        <v>0</v>
      </c>
      <c r="P108">
        <v>0</v>
      </c>
      <c r="Q108">
        <v>595.64</v>
      </c>
      <c r="R108">
        <v>592.11</v>
      </c>
      <c r="S108">
        <v>0</v>
      </c>
      <c r="T108">
        <v>467.34</v>
      </c>
      <c r="U108">
        <v>1591.62</v>
      </c>
      <c r="V108">
        <v>512.29999999999995</v>
      </c>
      <c r="W108">
        <v>59.47</v>
      </c>
      <c r="X108">
        <v>1019.85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259.97000000000003</v>
      </c>
      <c r="AE108">
        <v>14.47</v>
      </c>
      <c r="AF108">
        <v>245.5</v>
      </c>
      <c r="AG108">
        <v>0</v>
      </c>
      <c r="AH108">
        <v>203.59</v>
      </c>
      <c r="AI108">
        <v>161.26</v>
      </c>
      <c r="AJ108">
        <v>0</v>
      </c>
      <c r="AK108">
        <v>42.33</v>
      </c>
      <c r="AL108">
        <v>0</v>
      </c>
      <c r="AM108">
        <v>41.6</v>
      </c>
    </row>
    <row r="109" spans="1:39" x14ac:dyDescent="0.3">
      <c r="M109" s="19">
        <f>SUM(N109,S109,T109,U109,Y109,AD109,AH109,AL109,AM109)</f>
        <v>1</v>
      </c>
      <c r="N109" s="5">
        <f>N108/$M$108</f>
        <v>0.31657546770010686</v>
      </c>
      <c r="O109" s="5">
        <f t="shared" ref="O109:AM109" si="40">O108/$M$108</f>
        <v>0</v>
      </c>
      <c r="P109" s="5">
        <f t="shared" si="40"/>
        <v>0</v>
      </c>
      <c r="Q109" s="5">
        <f t="shared" si="40"/>
        <v>0.15875816592792391</v>
      </c>
      <c r="R109" s="5">
        <f t="shared" si="40"/>
        <v>0.15781730177218292</v>
      </c>
      <c r="S109" s="5">
        <f t="shared" si="40"/>
        <v>0</v>
      </c>
      <c r="T109" s="5">
        <f t="shared" si="40"/>
        <v>0.12456188513994353</v>
      </c>
      <c r="U109" s="5">
        <f t="shared" si="40"/>
        <v>0.42422045539957404</v>
      </c>
      <c r="V109" s="5">
        <f t="shared" si="40"/>
        <v>0.13654524277227087</v>
      </c>
      <c r="W109" s="5">
        <f t="shared" si="40"/>
        <v>1.5850762419806656E-2</v>
      </c>
      <c r="X109" s="5">
        <f t="shared" si="40"/>
        <v>0.27182445020749652</v>
      </c>
      <c r="Y109" s="5">
        <f t="shared" si="40"/>
        <v>0</v>
      </c>
      <c r="Z109" s="5">
        <f t="shared" si="40"/>
        <v>0</v>
      </c>
      <c r="AA109" s="5">
        <f t="shared" si="40"/>
        <v>0</v>
      </c>
      <c r="AB109" s="5">
        <f t="shared" si="40"/>
        <v>0</v>
      </c>
      <c r="AC109" s="5">
        <f t="shared" si="40"/>
        <v>0</v>
      </c>
      <c r="AD109" s="5">
        <f t="shared" si="40"/>
        <v>6.9290780330875004E-2</v>
      </c>
      <c r="AE109" s="5">
        <f t="shared" si="40"/>
        <v>3.8567434372726132E-3</v>
      </c>
      <c r="AF109" s="5">
        <f t="shared" si="40"/>
        <v>6.5434036893602388E-2</v>
      </c>
      <c r="AG109" s="5">
        <f t="shared" si="40"/>
        <v>0</v>
      </c>
      <c r="AH109" s="5">
        <f t="shared" si="40"/>
        <v>5.4263607214535679E-2</v>
      </c>
      <c r="AI109" s="5">
        <f t="shared" si="40"/>
        <v>4.2981233358298655E-2</v>
      </c>
      <c r="AJ109" s="5">
        <f t="shared" si="40"/>
        <v>0</v>
      </c>
      <c r="AK109" s="5">
        <f t="shared" si="40"/>
        <v>1.1282373856237022E-2</v>
      </c>
      <c r="AL109" s="5">
        <f t="shared" si="40"/>
        <v>0</v>
      </c>
      <c r="AM109" s="5">
        <f t="shared" si="40"/>
        <v>1.1087804214964804E-2</v>
      </c>
    </row>
    <row r="110" spans="1:39" x14ac:dyDescent="0.3">
      <c r="A110" t="s">
        <v>103</v>
      </c>
      <c r="L110">
        <v>1773.44</v>
      </c>
      <c r="M110">
        <f>N110+S110+T110+U110+Y110+AD110+AH110+AL110+AM110</f>
        <v>1773.4399999999996</v>
      </c>
      <c r="N110">
        <v>499.2</v>
      </c>
      <c r="O110">
        <v>0</v>
      </c>
      <c r="P110">
        <v>2.76</v>
      </c>
      <c r="Q110">
        <v>496.44</v>
      </c>
      <c r="R110">
        <v>0</v>
      </c>
      <c r="S110">
        <v>0</v>
      </c>
      <c r="T110">
        <v>516.80999999999995</v>
      </c>
      <c r="U110">
        <v>384.06</v>
      </c>
      <c r="V110">
        <v>25.75</v>
      </c>
      <c r="W110">
        <v>33.57</v>
      </c>
      <c r="X110">
        <v>324.74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121.11</v>
      </c>
      <c r="AE110">
        <v>1.59</v>
      </c>
      <c r="AF110">
        <v>119.52</v>
      </c>
      <c r="AG110">
        <v>0</v>
      </c>
      <c r="AH110">
        <v>8.85</v>
      </c>
      <c r="AI110">
        <v>8.85</v>
      </c>
      <c r="AJ110">
        <v>0</v>
      </c>
      <c r="AK110">
        <v>0</v>
      </c>
      <c r="AL110">
        <v>9.32</v>
      </c>
      <c r="AM110">
        <v>234.09</v>
      </c>
    </row>
    <row r="111" spans="1:39" x14ac:dyDescent="0.3">
      <c r="M111" s="19">
        <f>SUM(N111,S111,T111,U111,Y111,AD111,AH111,AL111,AM111)</f>
        <v>1.0000000000000002</v>
      </c>
      <c r="N111" s="5">
        <f>N110/$M$110</f>
        <v>0.28148682785997842</v>
      </c>
      <c r="O111" s="5">
        <f t="shared" ref="O111:AM111" si="41">O110/$M$110</f>
        <v>0</v>
      </c>
      <c r="P111" s="5">
        <f t="shared" si="41"/>
        <v>1.556297365571996E-3</v>
      </c>
      <c r="Q111" s="5">
        <f t="shared" si="41"/>
        <v>0.27993053049440642</v>
      </c>
      <c r="R111" s="5">
        <f t="shared" si="41"/>
        <v>0</v>
      </c>
      <c r="S111" s="5">
        <f t="shared" si="41"/>
        <v>0</v>
      </c>
      <c r="T111" s="5">
        <f t="shared" si="41"/>
        <v>0.29141668170335622</v>
      </c>
      <c r="U111" s="5">
        <f t="shared" si="41"/>
        <v>0.2165621616744858</v>
      </c>
      <c r="V111" s="5">
        <f t="shared" si="41"/>
        <v>1.4519803320101049E-2</v>
      </c>
      <c r="W111" s="5">
        <f t="shared" si="41"/>
        <v>1.8929312522555038E-2</v>
      </c>
      <c r="X111" s="5">
        <f t="shared" si="41"/>
        <v>0.18311304583182972</v>
      </c>
      <c r="Y111" s="5">
        <f t="shared" si="41"/>
        <v>0</v>
      </c>
      <c r="Z111" s="5">
        <f t="shared" si="41"/>
        <v>0</v>
      </c>
      <c r="AA111" s="5">
        <f t="shared" si="41"/>
        <v>0</v>
      </c>
      <c r="AB111" s="5">
        <f t="shared" si="41"/>
        <v>0</v>
      </c>
      <c r="AC111" s="5">
        <f t="shared" si="41"/>
        <v>0</v>
      </c>
      <c r="AD111" s="5">
        <f t="shared" si="41"/>
        <v>6.82910050523277E-2</v>
      </c>
      <c r="AE111" s="5">
        <f t="shared" si="41"/>
        <v>8.965626127751717E-4</v>
      </c>
      <c r="AF111" s="5">
        <f t="shared" si="41"/>
        <v>6.7394442439552518E-2</v>
      </c>
      <c r="AG111" s="5">
        <f t="shared" si="41"/>
        <v>0</v>
      </c>
      <c r="AH111" s="5">
        <f t="shared" si="41"/>
        <v>4.9903013352580305E-3</v>
      </c>
      <c r="AI111" s="5">
        <f t="shared" si="41"/>
        <v>4.9903013352580305E-3</v>
      </c>
      <c r="AJ111" s="5">
        <f t="shared" si="41"/>
        <v>0</v>
      </c>
      <c r="AK111" s="5">
        <f t="shared" si="41"/>
        <v>0</v>
      </c>
      <c r="AL111" s="5">
        <f t="shared" si="41"/>
        <v>5.255322988090943E-3</v>
      </c>
      <c r="AM111" s="5">
        <f t="shared" si="41"/>
        <v>0.1319976993865031</v>
      </c>
    </row>
    <row r="117" spans="1:39" x14ac:dyDescent="0.3">
      <c r="C117">
        <v>2014</v>
      </c>
      <c r="E117">
        <v>2020</v>
      </c>
    </row>
    <row r="118" spans="1:39" x14ac:dyDescent="0.3">
      <c r="A118" t="s">
        <v>104</v>
      </c>
      <c r="C118">
        <v>1921.8</v>
      </c>
      <c r="E118">
        <v>1975</v>
      </c>
      <c r="I118">
        <v>2000</v>
      </c>
      <c r="L118">
        <v>35300</v>
      </c>
      <c r="M118">
        <f>N118+T118+U118+X118+AD118</f>
        <v>35300</v>
      </c>
      <c r="N118">
        <v>7876</v>
      </c>
      <c r="O118">
        <v>1555</v>
      </c>
      <c r="P118">
        <v>0</v>
      </c>
      <c r="Q118">
        <v>6321</v>
      </c>
      <c r="S118">
        <v>0</v>
      </c>
      <c r="T118">
        <v>2559</v>
      </c>
      <c r="U118">
        <v>4371</v>
      </c>
      <c r="X118">
        <v>10090</v>
      </c>
      <c r="Y118">
        <v>0</v>
      </c>
      <c r="AD118">
        <v>10404</v>
      </c>
    </row>
    <row r="119" spans="1:39" x14ac:dyDescent="0.3">
      <c r="F119">
        <v>2009.8</v>
      </c>
      <c r="G119">
        <v>1996.6</v>
      </c>
      <c r="H119">
        <v>1996.7</v>
      </c>
      <c r="I119">
        <v>2026.5</v>
      </c>
      <c r="L119">
        <v>38150</v>
      </c>
      <c r="M119" s="19">
        <f>SUM(N119,S119,T119,U119,Y119,AD119,AH119,AL119,AM119)</f>
        <v>0.71416430594900859</v>
      </c>
      <c r="N119" s="5">
        <f>N118/$M$118</f>
        <v>0.22311614730878188</v>
      </c>
      <c r="O119" s="5">
        <f t="shared" ref="O119:AM119" si="42">O118/$M$118</f>
        <v>4.4050991501416434E-2</v>
      </c>
      <c r="P119" s="5">
        <f t="shared" si="42"/>
        <v>0</v>
      </c>
      <c r="Q119" s="5">
        <f t="shared" si="42"/>
        <v>0.17906515580736543</v>
      </c>
      <c r="R119" s="5">
        <f t="shared" si="42"/>
        <v>0</v>
      </c>
      <c r="S119" s="5">
        <f t="shared" si="42"/>
        <v>0</v>
      </c>
      <c r="T119" s="5">
        <f t="shared" si="42"/>
        <v>7.2492917847025495E-2</v>
      </c>
      <c r="U119" s="5">
        <f t="shared" si="42"/>
        <v>0.12382436260623229</v>
      </c>
      <c r="V119" s="5">
        <f t="shared" si="42"/>
        <v>0</v>
      </c>
      <c r="W119" s="5">
        <f t="shared" si="42"/>
        <v>0</v>
      </c>
      <c r="X119" s="5">
        <f t="shared" si="42"/>
        <v>0.28583569405099152</v>
      </c>
      <c r="Y119" s="5">
        <f t="shared" si="42"/>
        <v>0</v>
      </c>
      <c r="Z119" s="5">
        <f t="shared" si="42"/>
        <v>0</v>
      </c>
      <c r="AA119" s="5">
        <f t="shared" si="42"/>
        <v>0</v>
      </c>
      <c r="AB119" s="5">
        <f t="shared" si="42"/>
        <v>0</v>
      </c>
      <c r="AC119" s="5">
        <f t="shared" si="42"/>
        <v>0</v>
      </c>
      <c r="AD119" s="5">
        <f t="shared" si="42"/>
        <v>0.29473087818696886</v>
      </c>
      <c r="AE119" s="5">
        <f t="shared" si="42"/>
        <v>0</v>
      </c>
      <c r="AF119" s="5">
        <f t="shared" si="42"/>
        <v>0</v>
      </c>
      <c r="AG119" s="5">
        <f t="shared" si="42"/>
        <v>0</v>
      </c>
      <c r="AH119" s="5">
        <f t="shared" si="42"/>
        <v>0</v>
      </c>
      <c r="AI119" s="5">
        <f t="shared" si="42"/>
        <v>0</v>
      </c>
      <c r="AJ119" s="5">
        <f t="shared" si="42"/>
        <v>0</v>
      </c>
      <c r="AK119" s="5">
        <f t="shared" si="42"/>
        <v>0</v>
      </c>
      <c r="AL119" s="5">
        <f t="shared" si="42"/>
        <v>0</v>
      </c>
      <c r="AM119" s="5">
        <f t="shared" si="42"/>
        <v>0</v>
      </c>
    </row>
    <row r="121" spans="1:39" x14ac:dyDescent="0.3">
      <c r="A121" t="s">
        <v>111</v>
      </c>
    </row>
    <row r="122" spans="1:39" x14ac:dyDescent="0.3">
      <c r="A122" t="s">
        <v>112</v>
      </c>
    </row>
    <row r="123" spans="1:39" x14ac:dyDescent="0.3">
      <c r="A123" t="s">
        <v>113</v>
      </c>
    </row>
    <row r="124" spans="1:39" x14ac:dyDescent="0.3">
      <c r="A124" t="s">
        <v>114</v>
      </c>
    </row>
    <row r="125" spans="1:39" x14ac:dyDescent="0.3">
      <c r="A125" t="s">
        <v>115</v>
      </c>
    </row>
    <row r="126" spans="1:39" x14ac:dyDescent="0.3">
      <c r="A126" t="s">
        <v>116</v>
      </c>
    </row>
    <row r="127" spans="1:39" x14ac:dyDescent="0.3">
      <c r="A127" t="s">
        <v>117</v>
      </c>
    </row>
    <row r="128" spans="1:39" x14ac:dyDescent="0.3">
      <c r="A128" t="s">
        <v>118</v>
      </c>
    </row>
    <row r="130" spans="1:39" x14ac:dyDescent="0.3">
      <c r="A130" t="s">
        <v>105</v>
      </c>
      <c r="F130">
        <v>2.7</v>
      </c>
      <c r="G130">
        <v>2.6</v>
      </c>
      <c r="H130">
        <v>2.5910000000000002</v>
      </c>
      <c r="I130">
        <v>81</v>
      </c>
    </row>
    <row r="132" spans="1:39" x14ac:dyDescent="0.3">
      <c r="A132" t="s">
        <v>106</v>
      </c>
      <c r="F132">
        <v>29.7</v>
      </c>
      <c r="G132">
        <v>29.8</v>
      </c>
      <c r="H132">
        <v>29.713000000000001</v>
      </c>
      <c r="I132">
        <v>41</v>
      </c>
    </row>
    <row r="134" spans="1:39" x14ac:dyDescent="0.3">
      <c r="A134" t="s">
        <v>107</v>
      </c>
      <c r="F134">
        <v>17.7</v>
      </c>
      <c r="G134">
        <v>17.399999999999999</v>
      </c>
      <c r="H134">
        <v>17.36</v>
      </c>
      <c r="I134">
        <v>23.5</v>
      </c>
    </row>
    <row r="136" spans="1:39" x14ac:dyDescent="0.3">
      <c r="A136" t="s">
        <v>108</v>
      </c>
      <c r="F136">
        <v>17.5</v>
      </c>
      <c r="G136">
        <v>17.8</v>
      </c>
      <c r="H136">
        <v>18.469000000000001</v>
      </c>
      <c r="I136">
        <v>23</v>
      </c>
    </row>
    <row r="138" spans="1:39" x14ac:dyDescent="0.3">
      <c r="A138" t="s">
        <v>109</v>
      </c>
      <c r="F138">
        <v>15.3</v>
      </c>
      <c r="G138">
        <v>15.5</v>
      </c>
      <c r="H138">
        <v>15.566000000000001</v>
      </c>
      <c r="I138">
        <v>19</v>
      </c>
    </row>
    <row r="140" spans="1:39" x14ac:dyDescent="0.3">
      <c r="A140" t="s">
        <v>110</v>
      </c>
      <c r="F140">
        <v>19.8</v>
      </c>
      <c r="G140">
        <v>21.8</v>
      </c>
      <c r="H140">
        <v>23.2</v>
      </c>
      <c r="I140">
        <v>30</v>
      </c>
    </row>
    <row r="144" spans="1:39" x14ac:dyDescent="0.3">
      <c r="A144" t="s">
        <v>153</v>
      </c>
      <c r="H144">
        <v>1303.8</v>
      </c>
      <c r="I144">
        <v>1400</v>
      </c>
      <c r="L144">
        <v>114300</v>
      </c>
      <c r="M144" s="30">
        <f>SUM(N144,S144,T144,U144,Y144,AD144,AH144,AL144,AM144,X144)</f>
        <v>114300</v>
      </c>
      <c r="N144">
        <v>11400</v>
      </c>
      <c r="O144">
        <v>4600</v>
      </c>
      <c r="P144">
        <v>3200</v>
      </c>
      <c r="R144">
        <v>3600</v>
      </c>
      <c r="T144">
        <v>1200</v>
      </c>
      <c r="U144">
        <v>4900</v>
      </c>
      <c r="V144">
        <v>4900</v>
      </c>
      <c r="W144">
        <v>0</v>
      </c>
      <c r="X144">
        <v>8800</v>
      </c>
      <c r="Y144">
        <v>16700</v>
      </c>
      <c r="AD144">
        <v>51500</v>
      </c>
      <c r="AH144">
        <v>700</v>
      </c>
      <c r="AL144">
        <v>4900</v>
      </c>
      <c r="AM144">
        <v>14200</v>
      </c>
    </row>
    <row r="145" spans="1:39" x14ac:dyDescent="0.3">
      <c r="M145" s="19">
        <f>SUM(N145,S145,T145,U145,Y145,AD145,AH145,AL145,AM145,X145)</f>
        <v>1</v>
      </c>
      <c r="N145" s="5">
        <f>N144/$L$144</f>
        <v>9.9737532808398949E-2</v>
      </c>
      <c r="O145" s="5">
        <f t="shared" ref="O145:AM145" si="43">O144/$L$144</f>
        <v>4.0244969378827648E-2</v>
      </c>
      <c r="P145" s="5">
        <f t="shared" si="43"/>
        <v>2.799650043744532E-2</v>
      </c>
      <c r="Q145" s="5">
        <f t="shared" si="43"/>
        <v>0</v>
      </c>
      <c r="R145" s="5">
        <f t="shared" si="43"/>
        <v>3.1496062992125984E-2</v>
      </c>
      <c r="S145" s="5">
        <f t="shared" si="43"/>
        <v>0</v>
      </c>
      <c r="T145" s="5">
        <f t="shared" si="43"/>
        <v>1.0498687664041995E-2</v>
      </c>
      <c r="U145" s="5">
        <f t="shared" si="43"/>
        <v>4.2869641294838147E-2</v>
      </c>
      <c r="V145" s="5">
        <f t="shared" si="43"/>
        <v>4.2869641294838147E-2</v>
      </c>
      <c r="W145" s="5">
        <f t="shared" si="43"/>
        <v>0</v>
      </c>
      <c r="X145" s="5">
        <f t="shared" si="43"/>
        <v>7.6990376202974622E-2</v>
      </c>
      <c r="Y145" s="5">
        <f t="shared" si="43"/>
        <v>0.14610673665791776</v>
      </c>
      <c r="Z145" s="5">
        <f t="shared" si="43"/>
        <v>0</v>
      </c>
      <c r="AA145" s="5">
        <f t="shared" si="43"/>
        <v>0</v>
      </c>
      <c r="AB145" s="5">
        <f t="shared" si="43"/>
        <v>0</v>
      </c>
      <c r="AC145" s="5">
        <f t="shared" si="43"/>
        <v>0</v>
      </c>
      <c r="AD145" s="5">
        <f t="shared" si="43"/>
        <v>0.45056867891513563</v>
      </c>
      <c r="AE145" s="5">
        <f t="shared" si="43"/>
        <v>0</v>
      </c>
      <c r="AF145" s="5">
        <f t="shared" si="43"/>
        <v>0</v>
      </c>
      <c r="AG145" s="5">
        <f t="shared" si="43"/>
        <v>0</v>
      </c>
      <c r="AH145" s="5">
        <f t="shared" si="43"/>
        <v>6.1242344706911632E-3</v>
      </c>
      <c r="AI145" s="5">
        <f t="shared" si="43"/>
        <v>0</v>
      </c>
      <c r="AJ145" s="5">
        <f t="shared" si="43"/>
        <v>0</v>
      </c>
      <c r="AK145" s="5">
        <f t="shared" si="43"/>
        <v>0</v>
      </c>
      <c r="AL145" s="5">
        <f t="shared" si="43"/>
        <v>4.2869641294838147E-2</v>
      </c>
      <c r="AM145" s="5">
        <f t="shared" si="43"/>
        <v>0.1242344706911636</v>
      </c>
    </row>
    <row r="146" spans="1:39" x14ac:dyDescent="0.3">
      <c r="M146" s="30">
        <f>SUM(N146,S146,T146,U146,Y146,AD146,AH146,AL146,AM146,X146)</f>
        <v>114300</v>
      </c>
      <c r="N146">
        <v>12800</v>
      </c>
      <c r="O146">
        <v>2100</v>
      </c>
      <c r="P146">
        <v>5000</v>
      </c>
      <c r="R146">
        <v>5200</v>
      </c>
      <c r="T146">
        <v>2800</v>
      </c>
      <c r="U146">
        <v>5100</v>
      </c>
      <c r="V146">
        <v>5100</v>
      </c>
      <c r="W146">
        <v>0</v>
      </c>
      <c r="X146">
        <v>14500</v>
      </c>
      <c r="Y146">
        <v>14200</v>
      </c>
      <c r="AD146">
        <v>53700</v>
      </c>
      <c r="AH146">
        <v>700</v>
      </c>
      <c r="AL146">
        <v>500</v>
      </c>
      <c r="AM146">
        <v>10000</v>
      </c>
    </row>
    <row r="147" spans="1:39" x14ac:dyDescent="0.3">
      <c r="M147" s="19">
        <f>SUM(N147,S147,T147,U147,Y147,AD147,AH147,AL147,AM147,X147)</f>
        <v>1</v>
      </c>
      <c r="N147" s="5">
        <f>N146/$L$144</f>
        <v>0.11198600174978128</v>
      </c>
      <c r="O147" s="5">
        <f t="shared" ref="O147:AM147" si="44">O146/$L$144</f>
        <v>1.8372703412073491E-2</v>
      </c>
      <c r="P147" s="5">
        <f t="shared" si="44"/>
        <v>4.3744531933508309E-2</v>
      </c>
      <c r="Q147" s="5">
        <f t="shared" si="44"/>
        <v>0</v>
      </c>
      <c r="R147" s="5">
        <f t="shared" si="44"/>
        <v>4.5494313210848646E-2</v>
      </c>
      <c r="S147" s="5">
        <f t="shared" si="44"/>
        <v>0</v>
      </c>
      <c r="T147" s="5">
        <f t="shared" si="44"/>
        <v>2.4496937882764653E-2</v>
      </c>
      <c r="U147" s="5">
        <f t="shared" si="44"/>
        <v>4.4619422572178477E-2</v>
      </c>
      <c r="V147" s="5">
        <f t="shared" si="44"/>
        <v>4.4619422572178477E-2</v>
      </c>
      <c r="W147" s="5">
        <f t="shared" si="44"/>
        <v>0</v>
      </c>
      <c r="X147" s="5">
        <f t="shared" si="44"/>
        <v>0.1268591426071741</v>
      </c>
      <c r="Y147" s="5">
        <f t="shared" si="44"/>
        <v>0.1242344706911636</v>
      </c>
      <c r="Z147" s="5">
        <f t="shared" si="44"/>
        <v>0</v>
      </c>
      <c r="AA147" s="5">
        <f t="shared" si="44"/>
        <v>0</v>
      </c>
      <c r="AB147" s="5">
        <f t="shared" si="44"/>
        <v>0</v>
      </c>
      <c r="AC147" s="5">
        <f t="shared" si="44"/>
        <v>0</v>
      </c>
      <c r="AD147" s="5">
        <f t="shared" si="44"/>
        <v>0.46981627296587924</v>
      </c>
      <c r="AE147" s="5">
        <f t="shared" si="44"/>
        <v>0</v>
      </c>
      <c r="AF147" s="5">
        <f t="shared" si="44"/>
        <v>0</v>
      </c>
      <c r="AG147" s="5">
        <f t="shared" si="44"/>
        <v>0</v>
      </c>
      <c r="AH147" s="5">
        <f t="shared" si="44"/>
        <v>6.1242344706911632E-3</v>
      </c>
      <c r="AI147" s="5">
        <f t="shared" si="44"/>
        <v>0</v>
      </c>
      <c r="AJ147" s="5">
        <f t="shared" si="44"/>
        <v>0</v>
      </c>
      <c r="AK147" s="5">
        <f t="shared" si="44"/>
        <v>0</v>
      </c>
      <c r="AL147" s="5">
        <f t="shared" si="44"/>
        <v>4.3744531933508314E-3</v>
      </c>
      <c r="AM147" s="5">
        <f t="shared" si="44"/>
        <v>8.7489063867016617E-2</v>
      </c>
    </row>
    <row r="149" spans="1:39" x14ac:dyDescent="0.3">
      <c r="A149" t="s">
        <v>156</v>
      </c>
      <c r="L149">
        <v>4311.3</v>
      </c>
      <c r="M149" s="30">
        <f>SUM(N149,S149,T149,U149,Y149,AD149,AH149,AL149,AM149,X149)</f>
        <v>4311.3</v>
      </c>
      <c r="N149">
        <v>652.79999999999995</v>
      </c>
      <c r="O149">
        <v>565.29999999999995</v>
      </c>
      <c r="P149">
        <v>30</v>
      </c>
      <c r="R149">
        <v>57.5</v>
      </c>
      <c r="S149">
        <v>42</v>
      </c>
      <c r="U149">
        <v>586</v>
      </c>
      <c r="V149">
        <v>586</v>
      </c>
      <c r="X149">
        <v>435.8</v>
      </c>
      <c r="Y149">
        <v>681.2</v>
      </c>
      <c r="AD149">
        <v>1571.2</v>
      </c>
      <c r="AH149">
        <v>33.799999999999997</v>
      </c>
      <c r="AM149">
        <v>308.5</v>
      </c>
    </row>
    <row r="150" spans="1:39" x14ac:dyDescent="0.3">
      <c r="M150" s="19">
        <f>SUM(N150,S150,T150,U150,Y150,AD150,AH150,AL150,AM150,X150)</f>
        <v>1</v>
      </c>
      <c r="N150" s="5">
        <f>N149/$L149</f>
        <v>0.15141604620416113</v>
      </c>
      <c r="O150" s="5">
        <f t="shared" ref="O150:AM150" si="45">O149/$L149</f>
        <v>0.13112054368751883</v>
      </c>
      <c r="P150" s="5">
        <f t="shared" si="45"/>
        <v>6.9584580057059356E-3</v>
      </c>
      <c r="Q150" s="5">
        <f t="shared" si="45"/>
        <v>0</v>
      </c>
      <c r="R150" s="5">
        <f t="shared" si="45"/>
        <v>1.3337044510936376E-2</v>
      </c>
      <c r="S150" s="5">
        <f t="shared" si="45"/>
        <v>9.74184120798831E-3</v>
      </c>
      <c r="T150" s="5">
        <f t="shared" si="45"/>
        <v>0</v>
      </c>
      <c r="U150" s="5">
        <f t="shared" si="45"/>
        <v>0.13592187971145595</v>
      </c>
      <c r="V150" s="5">
        <f t="shared" si="45"/>
        <v>0.13592187971145595</v>
      </c>
      <c r="W150" s="5">
        <f t="shared" si="45"/>
        <v>0</v>
      </c>
      <c r="X150" s="5">
        <f t="shared" si="45"/>
        <v>0.10108319996288823</v>
      </c>
      <c r="Y150" s="5">
        <f t="shared" si="45"/>
        <v>0.15800338644956277</v>
      </c>
      <c r="Z150" s="5">
        <f t="shared" si="45"/>
        <v>0</v>
      </c>
      <c r="AA150" s="5">
        <f t="shared" si="45"/>
        <v>0</v>
      </c>
      <c r="AB150" s="5">
        <f t="shared" si="45"/>
        <v>0</v>
      </c>
      <c r="AC150" s="5">
        <f t="shared" si="45"/>
        <v>0</v>
      </c>
      <c r="AD150" s="5">
        <f t="shared" si="45"/>
        <v>0.36443764061883888</v>
      </c>
      <c r="AE150" s="5">
        <f t="shared" si="45"/>
        <v>0</v>
      </c>
      <c r="AF150" s="5">
        <f t="shared" si="45"/>
        <v>0</v>
      </c>
      <c r="AG150" s="5">
        <f t="shared" si="45"/>
        <v>0</v>
      </c>
      <c r="AH150" s="5">
        <f t="shared" si="45"/>
        <v>7.839862686428686E-3</v>
      </c>
      <c r="AI150" s="5">
        <f t="shared" si="45"/>
        <v>0</v>
      </c>
      <c r="AJ150" s="5">
        <f t="shared" si="45"/>
        <v>0</v>
      </c>
      <c r="AK150" s="5">
        <f t="shared" si="45"/>
        <v>0</v>
      </c>
      <c r="AL150" s="5">
        <f t="shared" si="45"/>
        <v>0</v>
      </c>
      <c r="AM150" s="5">
        <f t="shared" si="45"/>
        <v>7.1556143158676033E-2</v>
      </c>
    </row>
    <row r="151" spans="1:39" x14ac:dyDescent="0.3">
      <c r="L151">
        <v>7260.84</v>
      </c>
      <c r="M151" s="30">
        <f>SUM(N151,S151,T151,U151,Y151,AD151,AH151,AL151,AM151,X151)</f>
        <v>7260.84</v>
      </c>
      <c r="N151">
        <v>2513.04</v>
      </c>
      <c r="O151">
        <v>1364.59</v>
      </c>
      <c r="P151">
        <v>372.9</v>
      </c>
      <c r="R151">
        <v>775.55</v>
      </c>
      <c r="S151">
        <v>105.94</v>
      </c>
      <c r="U151">
        <v>1244.53</v>
      </c>
      <c r="V151">
        <v>1244.53</v>
      </c>
      <c r="X151">
        <v>642.74</v>
      </c>
      <c r="Y151">
        <v>394</v>
      </c>
      <c r="AD151">
        <v>2052.59</v>
      </c>
      <c r="AH151">
        <v>38.33</v>
      </c>
      <c r="AM151">
        <v>269.67</v>
      </c>
    </row>
    <row r="152" spans="1:39" x14ac:dyDescent="0.3">
      <c r="M152" s="19">
        <f>SUM(N152,S152,T152,U152,Y152,AD152,AH152,AL152,AM152,X152)</f>
        <v>1</v>
      </c>
      <c r="N152" s="5">
        <f>N151/$L151</f>
        <v>0.3461087146941676</v>
      </c>
      <c r="O152" s="5">
        <f t="shared" ref="O152:AM152" si="46">O151/$L151</f>
        <v>0.18793831016796952</v>
      </c>
      <c r="P152" s="5">
        <f t="shared" si="46"/>
        <v>5.1357694151089955E-2</v>
      </c>
      <c r="Q152" s="5">
        <f t="shared" si="46"/>
        <v>0</v>
      </c>
      <c r="R152" s="5">
        <f t="shared" si="46"/>
        <v>0.1068127103751081</v>
      </c>
      <c r="S152" s="5">
        <f t="shared" si="46"/>
        <v>1.4590598332975248E-2</v>
      </c>
      <c r="T152" s="5">
        <f t="shared" si="46"/>
        <v>0</v>
      </c>
      <c r="U152" s="5">
        <f t="shared" si="46"/>
        <v>0.17140303325785997</v>
      </c>
      <c r="V152" s="5">
        <f t="shared" si="46"/>
        <v>0.17140303325785997</v>
      </c>
      <c r="W152" s="5">
        <f t="shared" si="46"/>
        <v>0</v>
      </c>
      <c r="X152" s="5">
        <f t="shared" si="46"/>
        <v>8.8521438290886448E-2</v>
      </c>
      <c r="Y152" s="5">
        <f t="shared" si="46"/>
        <v>5.4263694007855842E-2</v>
      </c>
      <c r="Z152" s="5">
        <f t="shared" si="46"/>
        <v>0</v>
      </c>
      <c r="AA152" s="5">
        <f t="shared" si="46"/>
        <v>0</v>
      </c>
      <c r="AB152" s="5">
        <f t="shared" si="46"/>
        <v>0</v>
      </c>
      <c r="AC152" s="5">
        <f t="shared" si="46"/>
        <v>0</v>
      </c>
      <c r="AD152" s="5">
        <f t="shared" si="46"/>
        <v>0.28269318701417467</v>
      </c>
      <c r="AE152" s="5">
        <f t="shared" si="46"/>
        <v>0</v>
      </c>
      <c r="AF152" s="5">
        <f t="shared" si="46"/>
        <v>0</v>
      </c>
      <c r="AG152" s="5">
        <f t="shared" si="46"/>
        <v>0</v>
      </c>
      <c r="AH152" s="5">
        <f t="shared" si="46"/>
        <v>5.2790035312718633E-3</v>
      </c>
      <c r="AI152" s="5">
        <f t="shared" si="46"/>
        <v>0</v>
      </c>
      <c r="AJ152" s="5">
        <f t="shared" si="46"/>
        <v>0</v>
      </c>
      <c r="AK152" s="5">
        <f t="shared" si="46"/>
        <v>0</v>
      </c>
      <c r="AL152" s="5">
        <f t="shared" si="46"/>
        <v>0</v>
      </c>
      <c r="AM152" s="5">
        <f t="shared" si="46"/>
        <v>3.7140330870808334E-2</v>
      </c>
    </row>
    <row r="155" spans="1:39" x14ac:dyDescent="0.3">
      <c r="A155" t="s">
        <v>157</v>
      </c>
      <c r="M155" s="30">
        <f>SUM(N155,S155,T155,U155,Y155,AD155,AH155,AL155,AM155,X155)</f>
        <v>1449.9</v>
      </c>
      <c r="N155">
        <f>SUM(O155:R155)</f>
        <v>405.87</v>
      </c>
      <c r="O155">
        <f>324.07</f>
        <v>324.07</v>
      </c>
      <c r="P155">
        <v>4.99</v>
      </c>
      <c r="Q155">
        <v>56.34</v>
      </c>
      <c r="R155">
        <v>20.47</v>
      </c>
      <c r="S155">
        <v>14.77</v>
      </c>
      <c r="T155">
        <f>79.66+3.03</f>
        <v>82.69</v>
      </c>
      <c r="U155">
        <v>232.85</v>
      </c>
      <c r="W155">
        <v>21.55</v>
      </c>
      <c r="X155">
        <v>229.94</v>
      </c>
      <c r="Y155">
        <v>1.87</v>
      </c>
      <c r="Z155">
        <v>1.87</v>
      </c>
      <c r="AD155">
        <f>288.14+5.64</f>
        <v>293.77999999999997</v>
      </c>
      <c r="AE155">
        <v>5.64</v>
      </c>
      <c r="AH155">
        <f>SUM(AI155:AK155)</f>
        <v>80.210000000000008</v>
      </c>
      <c r="AI155">
        <v>12.68</v>
      </c>
      <c r="AK155">
        <v>67.53</v>
      </c>
      <c r="AL155">
        <v>0</v>
      </c>
      <c r="AM155">
        <v>107.92</v>
      </c>
    </row>
    <row r="156" spans="1:39" x14ac:dyDescent="0.3">
      <c r="M156" s="19">
        <f>SUM(N156,S156,T156,U156,Y156,AD156,AH156,AL156,AM156,X156)</f>
        <v>1</v>
      </c>
      <c r="N156" s="5">
        <f>N155/$M$155</f>
        <v>0.27992965032071176</v>
      </c>
      <c r="O156" s="5">
        <f t="shared" ref="O156:AM156" si="47">O155/$M$155</f>
        <v>0.22351196634250636</v>
      </c>
      <c r="P156" s="5">
        <f t="shared" si="47"/>
        <v>3.4416166632181529E-3</v>
      </c>
      <c r="Q156" s="5">
        <f t="shared" si="47"/>
        <v>3.8857852265673495E-2</v>
      </c>
      <c r="R156" s="5">
        <f t="shared" si="47"/>
        <v>1.4118215049313744E-2</v>
      </c>
      <c r="S156" s="5">
        <f t="shared" si="47"/>
        <v>1.0186909442030484E-2</v>
      </c>
      <c r="T156" s="5">
        <f t="shared" si="47"/>
        <v>5.703151941513207E-2</v>
      </c>
      <c r="U156" s="5">
        <f t="shared" si="47"/>
        <v>0.16059728257121178</v>
      </c>
      <c r="V156" s="5">
        <f t="shared" si="47"/>
        <v>0</v>
      </c>
      <c r="W156" s="5">
        <f t="shared" si="47"/>
        <v>1.4863094006483205E-2</v>
      </c>
      <c r="X156" s="5">
        <f t="shared" si="47"/>
        <v>0.15859024760328297</v>
      </c>
      <c r="Y156" s="5">
        <f t="shared" si="47"/>
        <v>1.2897441202841574E-3</v>
      </c>
      <c r="Z156" s="5">
        <f t="shared" si="47"/>
        <v>1.2897441202841574E-3</v>
      </c>
      <c r="AA156" s="5">
        <f t="shared" si="47"/>
        <v>0</v>
      </c>
      <c r="AB156" s="5">
        <f t="shared" si="47"/>
        <v>0</v>
      </c>
      <c r="AC156" s="5">
        <f t="shared" si="47"/>
        <v>0</v>
      </c>
      <c r="AD156" s="5">
        <f t="shared" si="47"/>
        <v>0.20262087040485546</v>
      </c>
      <c r="AE156" s="5">
        <f t="shared" si="47"/>
        <v>3.8899234429960682E-3</v>
      </c>
      <c r="AF156" s="5">
        <f t="shared" si="47"/>
        <v>0</v>
      </c>
      <c r="AG156" s="5">
        <f t="shared" si="47"/>
        <v>0</v>
      </c>
      <c r="AH156" s="5">
        <f t="shared" si="47"/>
        <v>5.53210566245948E-2</v>
      </c>
      <c r="AI156" s="5">
        <f t="shared" si="47"/>
        <v>8.7454307193599555E-3</v>
      </c>
      <c r="AJ156" s="5">
        <f t="shared" si="47"/>
        <v>0</v>
      </c>
      <c r="AK156" s="5">
        <f t="shared" si="47"/>
        <v>4.6575625905234841E-2</v>
      </c>
      <c r="AL156" s="5">
        <f t="shared" si="47"/>
        <v>0</v>
      </c>
      <c r="AM156" s="5">
        <f t="shared" si="47"/>
        <v>7.4432719497896399E-2</v>
      </c>
    </row>
    <row r="157" spans="1:39" x14ac:dyDescent="0.3">
      <c r="A157" t="s">
        <v>158</v>
      </c>
      <c r="M157" s="30">
        <f>SUM(N157,S157,T157,U157,Y157,AD157,AH157,AL157,AM157,X157)</f>
        <v>2979.0099999999998</v>
      </c>
      <c r="N157">
        <f>SUM(O157:R157)</f>
        <v>490.11</v>
      </c>
      <c r="O157">
        <v>386.49</v>
      </c>
      <c r="P157">
        <v>6.88</v>
      </c>
      <c r="Q157">
        <v>76.27</v>
      </c>
      <c r="R157">
        <v>20.47</v>
      </c>
      <c r="S157">
        <v>19.39</v>
      </c>
      <c r="T157">
        <v>87.88</v>
      </c>
      <c r="U157">
        <f>281.59+0.51</f>
        <v>282.09999999999997</v>
      </c>
      <c r="V157">
        <v>282.10000000000002</v>
      </c>
      <c r="W157">
        <v>25.39</v>
      </c>
      <c r="X157">
        <v>486.44</v>
      </c>
      <c r="Y157">
        <f>SUM(Z157:AC157)</f>
        <v>157.09</v>
      </c>
      <c r="Z157">
        <v>97.59</v>
      </c>
      <c r="AA157">
        <v>57.09</v>
      </c>
      <c r="AB157">
        <v>2.41</v>
      </c>
      <c r="AD157">
        <f>SUM(AE157:AG157)</f>
        <v>521.86</v>
      </c>
      <c r="AE157">
        <v>15.84</v>
      </c>
      <c r="AF157">
        <v>506.02</v>
      </c>
      <c r="AH157">
        <f>SUM(AI157:AK157)</f>
        <v>96.07</v>
      </c>
      <c r="AI157">
        <v>12.38</v>
      </c>
      <c r="AK157">
        <v>83.69</v>
      </c>
      <c r="AM157">
        <f>653.09+132.18+52.8</f>
        <v>838.06999999999994</v>
      </c>
    </row>
    <row r="158" spans="1:39" x14ac:dyDescent="0.3">
      <c r="M158" s="19">
        <f>SUM(N158,S158,T158,U158,Y158,AD158,AH158,AL158,AM158,X158)</f>
        <v>1</v>
      </c>
      <c r="N158" s="5">
        <f>N157/$M157</f>
        <v>0.16452109929137534</v>
      </c>
      <c r="O158" s="5">
        <f t="shared" ref="O158:AM158" si="48">O157/$M157</f>
        <v>0.12973773166253219</v>
      </c>
      <c r="P158" s="5">
        <f t="shared" si="48"/>
        <v>2.3094920795834859E-3</v>
      </c>
      <c r="Q158" s="5">
        <f t="shared" si="48"/>
        <v>2.5602465248522159E-2</v>
      </c>
      <c r="R158" s="5">
        <f t="shared" si="48"/>
        <v>6.8714103007374936E-3</v>
      </c>
      <c r="S158" s="5">
        <f t="shared" si="48"/>
        <v>6.5088737533610169E-3</v>
      </c>
      <c r="T158" s="5">
        <f t="shared" si="48"/>
        <v>2.9499733132819294E-2</v>
      </c>
      <c r="U158" s="5">
        <f t="shared" si="48"/>
        <v>9.4695888902689138E-2</v>
      </c>
      <c r="V158" s="5">
        <f t="shared" si="48"/>
        <v>9.4695888902689165E-2</v>
      </c>
      <c r="W158" s="5">
        <f t="shared" si="48"/>
        <v>8.5229656832303356E-3</v>
      </c>
      <c r="X158" s="5">
        <f t="shared" si="48"/>
        <v>0.16328914639427194</v>
      </c>
      <c r="Y158" s="5">
        <f t="shared" si="48"/>
        <v>5.2732283543861891E-2</v>
      </c>
      <c r="Z158" s="5">
        <f t="shared" si="48"/>
        <v>3.2759205239324476E-2</v>
      </c>
      <c r="AA158" s="5">
        <f t="shared" si="48"/>
        <v>1.9164084712706572E-2</v>
      </c>
      <c r="AB158" s="5">
        <f t="shared" si="48"/>
        <v>8.0899359183084327E-4</v>
      </c>
      <c r="AC158" s="5">
        <f t="shared" si="48"/>
        <v>0</v>
      </c>
      <c r="AD158" s="5">
        <f t="shared" si="48"/>
        <v>0.17517900242026715</v>
      </c>
      <c r="AE158" s="5">
        <f t="shared" si="48"/>
        <v>5.3172026948550026E-3</v>
      </c>
      <c r="AF158" s="5">
        <f t="shared" si="48"/>
        <v>0.16986179972541215</v>
      </c>
      <c r="AG158" s="5">
        <f t="shared" si="48"/>
        <v>0</v>
      </c>
      <c r="AH158" s="5">
        <f t="shared" si="48"/>
        <v>3.2248968617090916E-2</v>
      </c>
      <c r="AI158" s="5">
        <f t="shared" si="48"/>
        <v>4.1557430152970292E-3</v>
      </c>
      <c r="AJ158" s="5">
        <f t="shared" si="48"/>
        <v>0</v>
      </c>
      <c r="AK158" s="5">
        <f t="shared" si="48"/>
        <v>2.8093225601793885E-2</v>
      </c>
      <c r="AL158" s="5">
        <f t="shared" si="48"/>
        <v>0</v>
      </c>
      <c r="AM158" s="5">
        <f t="shared" si="48"/>
        <v>0.28132500394426335</v>
      </c>
    </row>
    <row r="160" spans="1:39" x14ac:dyDescent="0.3">
      <c r="A160" t="s">
        <v>160</v>
      </c>
      <c r="L160">
        <v>3846.77</v>
      </c>
      <c r="M160" s="30">
        <f>SUM(N160,S160,T160,U160,Y160,AD160,AH160,AL160,AM160,X160)</f>
        <v>3812.32</v>
      </c>
      <c r="N160">
        <f>SUM(O160:R160)</f>
        <v>756.43000000000006</v>
      </c>
      <c r="O160">
        <v>316.68</v>
      </c>
      <c r="P160">
        <v>0</v>
      </c>
      <c r="Q160">
        <v>116.8</v>
      </c>
      <c r="R160">
        <v>322.95</v>
      </c>
      <c r="S160">
        <v>0</v>
      </c>
      <c r="T160">
        <v>237.87</v>
      </c>
      <c r="U160">
        <f>516.9+43.98+22.52</f>
        <v>583.4</v>
      </c>
      <c r="W160">
        <v>33.42</v>
      </c>
      <c r="X160">
        <f>163.42+372.33</f>
        <v>535.75</v>
      </c>
      <c r="Y160">
        <f>SUM(Z160:AC160)</f>
        <v>446.03</v>
      </c>
      <c r="Z160">
        <v>271.44</v>
      </c>
      <c r="AA160">
        <v>174.59</v>
      </c>
      <c r="AD160">
        <f>SUM(AE160:AG160)</f>
        <v>989.18999999999994</v>
      </c>
      <c r="AE160">
        <v>837.41</v>
      </c>
      <c r="AF160">
        <f>126.77</f>
        <v>126.77</v>
      </c>
      <c r="AG160">
        <v>25.01</v>
      </c>
      <c r="AH160">
        <f>SUM(AI160:AK160)</f>
        <v>111.9</v>
      </c>
      <c r="AI160">
        <v>44.76</v>
      </c>
      <c r="AK160">
        <v>67.14</v>
      </c>
      <c r="AL160">
        <v>68.64</v>
      </c>
      <c r="AM160">
        <f>79.99+3.12</f>
        <v>83.11</v>
      </c>
    </row>
    <row r="161" spans="1:40" x14ac:dyDescent="0.3">
      <c r="M161" s="19">
        <f>SUM(N161,S161,T161,U161,Y161,AD161,AH161,AL161,AM161,X161,W161)</f>
        <v>0.99973224289468821</v>
      </c>
      <c r="N161" s="5">
        <f t="shared" ref="N161:AM161" si="49">N160/$L$160</f>
        <v>0.19664029822422449</v>
      </c>
      <c r="O161" s="5">
        <f t="shared" si="49"/>
        <v>8.232361175739647E-2</v>
      </c>
      <c r="P161" s="5">
        <f t="shared" si="49"/>
        <v>0</v>
      </c>
      <c r="Q161" s="5">
        <f t="shared" si="49"/>
        <v>3.0363135825640732E-2</v>
      </c>
      <c r="R161" s="5">
        <f t="shared" si="49"/>
        <v>8.3953550641187286E-2</v>
      </c>
      <c r="S161" s="5">
        <f t="shared" si="49"/>
        <v>0</v>
      </c>
      <c r="T161" s="5">
        <f t="shared" si="49"/>
        <v>6.1836293825729118E-2</v>
      </c>
      <c r="U161" s="5">
        <f t="shared" si="49"/>
        <v>0.1516597041154007</v>
      </c>
      <c r="V161" s="5">
        <f t="shared" si="49"/>
        <v>0</v>
      </c>
      <c r="W161" s="5">
        <f t="shared" si="49"/>
        <v>8.6878082131242578E-3</v>
      </c>
      <c r="X161" s="5">
        <f t="shared" si="49"/>
        <v>0.13927268851529984</v>
      </c>
      <c r="Y161" s="5">
        <f t="shared" si="49"/>
        <v>0.11594922493416554</v>
      </c>
      <c r="Z161" s="5">
        <f t="shared" si="49"/>
        <v>7.0563095792054109E-2</v>
      </c>
      <c r="AA161" s="5">
        <f t="shared" si="49"/>
        <v>4.5386129142111438E-2</v>
      </c>
      <c r="AB161" s="5">
        <f t="shared" si="49"/>
        <v>0</v>
      </c>
      <c r="AC161" s="5">
        <f t="shared" si="49"/>
        <v>0</v>
      </c>
      <c r="AD161" s="5">
        <f t="shared" si="49"/>
        <v>0.25714820485758177</v>
      </c>
      <c r="AE161" s="5">
        <f t="shared" si="49"/>
        <v>0.21769172578552914</v>
      </c>
      <c r="AF161" s="5">
        <f t="shared" si="49"/>
        <v>3.2954920621716399E-2</v>
      </c>
      <c r="AG161" s="5">
        <f t="shared" si="49"/>
        <v>6.5015584503362563E-3</v>
      </c>
      <c r="AH161" s="5">
        <f t="shared" si="49"/>
        <v>2.9089339887749983E-2</v>
      </c>
      <c r="AI161" s="5">
        <f t="shared" si="49"/>
        <v>1.1635735955099993E-2</v>
      </c>
      <c r="AJ161" s="5">
        <f t="shared" si="49"/>
        <v>0</v>
      </c>
      <c r="AK161" s="5">
        <f t="shared" si="49"/>
        <v>1.745360393264999E-2</v>
      </c>
      <c r="AL161" s="5">
        <f t="shared" si="49"/>
        <v>1.7843541464657362E-2</v>
      </c>
      <c r="AM161" s="5">
        <f t="shared" si="49"/>
        <v>2.1605138856755149E-2</v>
      </c>
    </row>
    <row r="163" spans="1:40" x14ac:dyDescent="0.3">
      <c r="A163" t="s">
        <v>161</v>
      </c>
      <c r="K163">
        <v>2009</v>
      </c>
      <c r="L163">
        <v>2197.9699999999998</v>
      </c>
      <c r="M163">
        <v>373.3</v>
      </c>
      <c r="N163">
        <f>SUM(O163:R163)</f>
        <v>373.29999999999995</v>
      </c>
      <c r="O163">
        <v>287.3</v>
      </c>
      <c r="P163">
        <f>311.4-O163</f>
        <v>24.099999999999966</v>
      </c>
      <c r="R163">
        <v>61.9</v>
      </c>
      <c r="T163">
        <v>14.5</v>
      </c>
      <c r="U163">
        <v>415.1</v>
      </c>
      <c r="X163">
        <v>106.2</v>
      </c>
      <c r="Y163">
        <v>739.57</v>
      </c>
      <c r="AD163">
        <v>480.2</v>
      </c>
      <c r="AH163">
        <v>28.1</v>
      </c>
      <c r="AM163">
        <v>41</v>
      </c>
    </row>
    <row r="164" spans="1:40" x14ac:dyDescent="0.3">
      <c r="M164" s="19">
        <f>SUM(N164,S164,T164,U164,Y164,AD164,AH164,AL164,AM164,X164)</f>
        <v>1</v>
      </c>
      <c r="N164" s="5">
        <f>N163/$L$163</f>
        <v>0.16983853282801858</v>
      </c>
      <c r="O164" s="5">
        <f t="shared" ref="O164:T164" si="50">O163/$L$163</f>
        <v>0.13071152017543461</v>
      </c>
      <c r="P164" s="5">
        <f t="shared" si="50"/>
        <v>1.0964662847991542E-2</v>
      </c>
      <c r="Q164" s="5">
        <f t="shared" si="50"/>
        <v>0</v>
      </c>
      <c r="R164" s="5">
        <f t="shared" si="50"/>
        <v>2.816234980459242E-2</v>
      </c>
      <c r="S164" s="5">
        <f t="shared" si="50"/>
        <v>0</v>
      </c>
      <c r="T164" s="5">
        <f t="shared" si="50"/>
        <v>6.5969963193310199E-3</v>
      </c>
      <c r="U164" s="5">
        <f t="shared" ref="U164:AM164" si="51">U163/$L$163</f>
        <v>0.18885608083822802</v>
      </c>
      <c r="V164" s="5">
        <f t="shared" si="51"/>
        <v>0</v>
      </c>
      <c r="W164" s="5">
        <f t="shared" si="51"/>
        <v>0</v>
      </c>
      <c r="X164" s="5">
        <f t="shared" si="51"/>
        <v>4.8317310973307194E-2</v>
      </c>
      <c r="Y164" s="5">
        <f t="shared" si="51"/>
        <v>0.33647865985432018</v>
      </c>
      <c r="Z164" s="5">
        <f t="shared" si="51"/>
        <v>0</v>
      </c>
      <c r="AA164" s="5">
        <f t="shared" si="51"/>
        <v>0</v>
      </c>
      <c r="AB164" s="5">
        <f t="shared" si="51"/>
        <v>0</v>
      </c>
      <c r="AC164" s="5">
        <f t="shared" si="51"/>
        <v>0</v>
      </c>
      <c r="AD164" s="5">
        <f t="shared" si="51"/>
        <v>0.21847431948570728</v>
      </c>
      <c r="AE164" s="5">
        <f t="shared" si="51"/>
        <v>0</v>
      </c>
      <c r="AF164" s="5">
        <f t="shared" si="51"/>
        <v>0</v>
      </c>
      <c r="AG164" s="5">
        <f t="shared" si="51"/>
        <v>0</v>
      </c>
      <c r="AH164" s="5">
        <f t="shared" si="51"/>
        <v>1.2784523901600115E-2</v>
      </c>
      <c r="AI164" s="5">
        <f t="shared" si="51"/>
        <v>0</v>
      </c>
      <c r="AJ164" s="5">
        <f t="shared" si="51"/>
        <v>0</v>
      </c>
      <c r="AK164" s="5">
        <f t="shared" si="51"/>
        <v>0</v>
      </c>
      <c r="AL164" s="5">
        <f t="shared" si="51"/>
        <v>0</v>
      </c>
      <c r="AM164" s="5">
        <f t="shared" si="51"/>
        <v>1.8653575799487711E-2</v>
      </c>
    </row>
    <row r="165" spans="1:40" x14ac:dyDescent="0.3">
      <c r="K165" t="s">
        <v>162</v>
      </c>
      <c r="L165">
        <v>2197.9699999999998</v>
      </c>
      <c r="M165">
        <v>602</v>
      </c>
      <c r="N165">
        <f>SUM(O165:R165)</f>
        <v>602</v>
      </c>
      <c r="O165">
        <v>460.4</v>
      </c>
      <c r="P165">
        <f>475.4-O165</f>
        <v>15</v>
      </c>
      <c r="R165">
        <v>126.6</v>
      </c>
      <c r="T165">
        <v>36.700000000000003</v>
      </c>
      <c r="U165">
        <v>412.5</v>
      </c>
      <c r="X165">
        <v>109</v>
      </c>
      <c r="Y165">
        <v>328.77</v>
      </c>
      <c r="AD165">
        <v>515</v>
      </c>
      <c r="AH165">
        <v>44.4</v>
      </c>
      <c r="AM165">
        <v>149.6</v>
      </c>
    </row>
    <row r="166" spans="1:40" x14ac:dyDescent="0.3">
      <c r="M166" s="19">
        <f>SUM(N166,S166,T166,U166,Y166,AD166,AH166,AL166,AM166,X166)</f>
        <v>1</v>
      </c>
      <c r="N166" s="5">
        <f>N165/$L165</f>
        <v>0.27388908856808786</v>
      </c>
      <c r="O166" s="5">
        <f t="shared" ref="O166:AL166" si="52">O165/$L165</f>
        <v>0.20946600727034492</v>
      </c>
      <c r="P166" s="5">
        <f t="shared" si="52"/>
        <v>6.8244789510320892E-3</v>
      </c>
      <c r="Q166" s="5">
        <f t="shared" si="52"/>
        <v>0</v>
      </c>
      <c r="R166" s="5">
        <f t="shared" si="52"/>
        <v>5.7598602346710832E-2</v>
      </c>
      <c r="S166" s="5">
        <f t="shared" si="52"/>
        <v>0</v>
      </c>
      <c r="T166" s="5">
        <f t="shared" si="52"/>
        <v>1.6697225166858513E-2</v>
      </c>
      <c r="U166" s="5">
        <f t="shared" si="52"/>
        <v>0.18767317115338245</v>
      </c>
      <c r="V166" s="5">
        <f>U165/$L165</f>
        <v>0.18767317115338245</v>
      </c>
      <c r="W166" s="5">
        <f t="shared" si="52"/>
        <v>0</v>
      </c>
      <c r="X166" s="5">
        <f t="shared" si="52"/>
        <v>4.9591213710833179E-2</v>
      </c>
      <c r="Y166" s="5">
        <f t="shared" si="52"/>
        <v>0.14957892964872133</v>
      </c>
      <c r="Z166" s="5">
        <f t="shared" si="52"/>
        <v>0</v>
      </c>
      <c r="AA166" s="5">
        <f t="shared" si="52"/>
        <v>0</v>
      </c>
      <c r="AB166" s="5">
        <f t="shared" si="52"/>
        <v>0</v>
      </c>
      <c r="AC166" s="5">
        <f t="shared" si="52"/>
        <v>0</v>
      </c>
      <c r="AD166" s="5">
        <f t="shared" si="52"/>
        <v>0.23430711065210175</v>
      </c>
      <c r="AE166" s="5">
        <f t="shared" si="52"/>
        <v>0</v>
      </c>
      <c r="AF166" s="5">
        <f t="shared" si="52"/>
        <v>0</v>
      </c>
      <c r="AG166" s="5">
        <f t="shared" si="52"/>
        <v>0</v>
      </c>
      <c r="AH166" s="5">
        <f t="shared" si="52"/>
        <v>2.0200457695054984E-2</v>
      </c>
      <c r="AI166" s="5">
        <f t="shared" si="52"/>
        <v>0</v>
      </c>
      <c r="AJ166" s="5">
        <f t="shared" si="52"/>
        <v>0</v>
      </c>
      <c r="AK166" s="5">
        <f t="shared" si="52"/>
        <v>0</v>
      </c>
      <c r="AL166" s="5">
        <f t="shared" si="52"/>
        <v>0</v>
      </c>
      <c r="AM166" s="5">
        <f>AM165/$L165</f>
        <v>6.8062803404960029E-2</v>
      </c>
    </row>
    <row r="168" spans="1:40" x14ac:dyDescent="0.3">
      <c r="K168">
        <v>2023</v>
      </c>
      <c r="L168">
        <v>8446.7999999999993</v>
      </c>
      <c r="M168" s="30">
        <f>SUM(N168,S168,T168,U168,Y168,AD168,AH168,AL168,AM168,X168,W168)</f>
        <v>3531.3199999999993</v>
      </c>
      <c r="N168">
        <f>SUM(O168:R168)</f>
        <v>422.47</v>
      </c>
      <c r="O168">
        <v>336.81</v>
      </c>
      <c r="P168">
        <v>35.58</v>
      </c>
      <c r="Q168">
        <v>37.72</v>
      </c>
      <c r="R168">
        <v>12.36</v>
      </c>
      <c r="S168">
        <v>23.02</v>
      </c>
      <c r="T168">
        <v>25.53</v>
      </c>
      <c r="U168">
        <f>405.3+4</f>
        <v>409.3</v>
      </c>
      <c r="W168">
        <v>24.5</v>
      </c>
      <c r="X168">
        <v>401.93</v>
      </c>
      <c r="Y168">
        <f>SUM(Z168:AC168)</f>
        <v>1233.17</v>
      </c>
      <c r="Z168">
        <v>370.49</v>
      </c>
      <c r="AA168">
        <f>718.56</f>
        <v>718.56</v>
      </c>
      <c r="AB168">
        <v>132.13999999999999</v>
      </c>
      <c r="AC168">
        <v>11.98</v>
      </c>
      <c r="AD168">
        <f>SUM(AE168:AG168)</f>
        <v>669.93</v>
      </c>
      <c r="AE168">
        <v>24.91</v>
      </c>
      <c r="AF168">
        <v>645.02</v>
      </c>
      <c r="AH168">
        <f>SUM(AI168:AK168)</f>
        <v>27.14</v>
      </c>
      <c r="AI168">
        <v>13.89</v>
      </c>
      <c r="AJ168">
        <v>13.25</v>
      </c>
      <c r="AM168">
        <f>294.33</f>
        <v>294.33</v>
      </c>
    </row>
    <row r="169" spans="1:40" x14ac:dyDescent="0.3">
      <c r="M169" s="19">
        <f>SUM(N169,S169,T169,U169,Y169,AD169,AH169,AL169,AM169,X169,W169)</f>
        <v>1.0000000000000002</v>
      </c>
      <c r="N169" s="5">
        <f>N168/$M$168</f>
        <v>0.11963515059524488</v>
      </c>
      <c r="O169" s="5">
        <f t="shared" ref="O169:AM169" si="53">O168/$M$168</f>
        <v>9.5377932331252926E-2</v>
      </c>
      <c r="P169" s="5">
        <f t="shared" si="53"/>
        <v>1.0075552484623315E-2</v>
      </c>
      <c r="Q169" s="5">
        <f t="shared" si="53"/>
        <v>1.0681558170882278E-2</v>
      </c>
      <c r="R169" s="5">
        <f t="shared" si="53"/>
        <v>3.5001076084863456E-3</v>
      </c>
      <c r="S169" s="5">
        <f t="shared" si="53"/>
        <v>6.5188088306922069E-3</v>
      </c>
      <c r="T169" s="5">
        <f t="shared" si="53"/>
        <v>7.2295912010239818E-3</v>
      </c>
      <c r="U169" s="5">
        <f t="shared" si="53"/>
        <v>0.11590566700270723</v>
      </c>
      <c r="V169" s="5">
        <f t="shared" si="53"/>
        <v>0</v>
      </c>
      <c r="W169" s="5">
        <f t="shared" si="53"/>
        <v>6.9379155669834526E-3</v>
      </c>
      <c r="X169" s="5">
        <f t="shared" si="53"/>
        <v>0.11381862872806772</v>
      </c>
      <c r="Y169" s="5">
        <f t="shared" si="53"/>
        <v>0.34920936080559123</v>
      </c>
      <c r="Z169" s="5">
        <f t="shared" si="53"/>
        <v>0.104915442384151</v>
      </c>
      <c r="AA169" s="5">
        <f t="shared" si="53"/>
        <v>0.20348198407394405</v>
      </c>
      <c r="AB169" s="5">
        <f t="shared" si="53"/>
        <v>3.7419435225354826E-2</v>
      </c>
      <c r="AC169" s="5">
        <f t="shared" si="53"/>
        <v>3.3924991221412964E-3</v>
      </c>
      <c r="AD169" s="5">
        <f t="shared" si="53"/>
        <v>0.18971092962404995</v>
      </c>
      <c r="AE169" s="5">
        <f t="shared" si="53"/>
        <v>7.0540194601452161E-3</v>
      </c>
      <c r="AF169" s="5">
        <f t="shared" si="53"/>
        <v>0.18265691016390476</v>
      </c>
      <c r="AG169" s="5">
        <f t="shared" si="53"/>
        <v>0</v>
      </c>
      <c r="AH169" s="5">
        <f t="shared" si="53"/>
        <v>7.6855113668543229E-3</v>
      </c>
      <c r="AI169" s="5">
        <f t="shared" si="53"/>
        <v>3.9333733561387821E-3</v>
      </c>
      <c r="AJ169" s="5">
        <f t="shared" si="53"/>
        <v>3.7521380107155408E-3</v>
      </c>
      <c r="AK169" s="5">
        <f t="shared" si="53"/>
        <v>0</v>
      </c>
      <c r="AL169" s="5">
        <f t="shared" si="53"/>
        <v>0</v>
      </c>
      <c r="AM169" s="5">
        <f t="shared" si="53"/>
        <v>8.3348436278785284E-2</v>
      </c>
    </row>
    <row r="170" spans="1:40" x14ac:dyDescent="0.3">
      <c r="K170">
        <v>2045</v>
      </c>
      <c r="L170">
        <v>8446.7999999999993</v>
      </c>
      <c r="M170" s="30">
        <f>SUM(N170,S170,T170,U170,Y170,AD170,AH170,AL170,AM170,X170,W170)</f>
        <v>3650.6199999999994</v>
      </c>
      <c r="N170">
        <f>SUM(O170:R170)</f>
        <v>566.34</v>
      </c>
      <c r="O170">
        <v>400.2</v>
      </c>
      <c r="P170">
        <v>32.29</v>
      </c>
      <c r="Q170">
        <v>50.99</v>
      </c>
      <c r="R170">
        <v>82.86</v>
      </c>
      <c r="S170">
        <f>48.58+13.77</f>
        <v>62.349999999999994</v>
      </c>
      <c r="T170">
        <v>148.96</v>
      </c>
      <c r="U170">
        <f>811.17+1.33</f>
        <v>812.5</v>
      </c>
      <c r="W170">
        <v>41.31</v>
      </c>
      <c r="X170">
        <v>689.78</v>
      </c>
      <c r="Y170">
        <f>SUM(Z170:AC170)</f>
        <v>620.5200000000001</v>
      </c>
      <c r="Z170">
        <v>347.04</v>
      </c>
      <c r="AA170">
        <f>135.54</f>
        <v>135.54</v>
      </c>
      <c r="AB170">
        <v>130.59</v>
      </c>
      <c r="AC170">
        <v>7.35</v>
      </c>
      <c r="AD170">
        <f>SUM(AE170:AG170)</f>
        <v>561.92999999999995</v>
      </c>
      <c r="AE170">
        <v>177.16</v>
      </c>
      <c r="AF170">
        <v>384.77</v>
      </c>
      <c r="AH170">
        <f>SUM(AI170:AK170)</f>
        <v>60.69</v>
      </c>
      <c r="AI170">
        <v>19.41</v>
      </c>
      <c r="AK170">
        <v>41.28</v>
      </c>
      <c r="AM170">
        <f>86.24</f>
        <v>86.24</v>
      </c>
    </row>
    <row r="171" spans="1:40" x14ac:dyDescent="0.3">
      <c r="M171" s="19">
        <f>SUM(N171,S171,T171,U171,Y171,AD171,AH171,AL171,AM171,X171,W171)</f>
        <v>1</v>
      </c>
      <c r="N171" s="5">
        <f>N170/$M$170</f>
        <v>0.15513529208737148</v>
      </c>
      <c r="O171" s="5">
        <f t="shared" ref="O171:AM171" si="54">O170/$M$170</f>
        <v>0.109625214347152</v>
      </c>
      <c r="P171" s="5">
        <f t="shared" si="54"/>
        <v>8.8450728917279821E-3</v>
      </c>
      <c r="Q171" s="5">
        <f t="shared" si="54"/>
        <v>1.3967490453676365E-2</v>
      </c>
      <c r="R171" s="5">
        <f t="shared" si="54"/>
        <v>2.269751439481513E-2</v>
      </c>
      <c r="S171" s="5">
        <f t="shared" si="54"/>
        <v>1.7079290641041796E-2</v>
      </c>
      <c r="T171" s="5">
        <f t="shared" si="54"/>
        <v>4.0804027808974921E-2</v>
      </c>
      <c r="U171" s="5">
        <f t="shared" si="54"/>
        <v>0.22256493417556472</v>
      </c>
      <c r="V171" s="5">
        <f t="shared" si="54"/>
        <v>0</v>
      </c>
      <c r="W171" s="5">
        <f t="shared" si="54"/>
        <v>1.1315886068667791E-2</v>
      </c>
      <c r="X171" s="5">
        <f t="shared" si="54"/>
        <v>0.18894872651768743</v>
      </c>
      <c r="Y171" s="5">
        <f t="shared" si="54"/>
        <v>0.16997660671338025</v>
      </c>
      <c r="Z171" s="5">
        <f t="shared" si="54"/>
        <v>9.5063304315431377E-2</v>
      </c>
      <c r="AA171" s="5">
        <f t="shared" si="54"/>
        <v>3.7127939911576667E-2</v>
      </c>
      <c r="AB171" s="5">
        <f t="shared" si="54"/>
        <v>3.5772005851060919E-2</v>
      </c>
      <c r="AC171" s="5">
        <f t="shared" si="54"/>
        <v>2.0133566353112624E-3</v>
      </c>
      <c r="AD171" s="5">
        <f t="shared" si="54"/>
        <v>0.1539272781061847</v>
      </c>
      <c r="AE171" s="5">
        <f t="shared" si="54"/>
        <v>4.8528743062822212E-2</v>
      </c>
      <c r="AF171" s="5">
        <f t="shared" si="54"/>
        <v>0.10539853504336251</v>
      </c>
      <c r="AG171" s="5">
        <f t="shared" si="54"/>
        <v>0</v>
      </c>
      <c r="AH171" s="5">
        <f t="shared" si="54"/>
        <v>1.6624573360141566E-2</v>
      </c>
      <c r="AI171" s="5">
        <f t="shared" si="54"/>
        <v>5.3169050736587217E-3</v>
      </c>
      <c r="AJ171" s="5">
        <f t="shared" si="54"/>
        <v>0</v>
      </c>
      <c r="AK171" s="5">
        <f t="shared" si="54"/>
        <v>1.1307668286482846E-2</v>
      </c>
      <c r="AL171" s="5">
        <f t="shared" si="54"/>
        <v>0</v>
      </c>
      <c r="AM171" s="5">
        <f t="shared" si="54"/>
        <v>2.3623384520985478E-2</v>
      </c>
    </row>
    <row r="173" spans="1:40" x14ac:dyDescent="0.3">
      <c r="A173" t="s">
        <v>164</v>
      </c>
      <c r="L173">
        <v>63601.8</v>
      </c>
      <c r="M173" s="30">
        <f>SUM(N173,S173,T173,U173,Y173,AD173,AH173,AL173,AM173,X173,W173)</f>
        <v>62931.419999999991</v>
      </c>
      <c r="N173">
        <f>SUM(O173:R173)</f>
        <v>11445.7</v>
      </c>
      <c r="O173">
        <v>5244.2</v>
      </c>
      <c r="P173">
        <v>3425</v>
      </c>
      <c r="Q173">
        <v>366.6</v>
      </c>
      <c r="R173">
        <v>2409.9</v>
      </c>
      <c r="S173">
        <f>189+196+1521.6+54.3+42.5+379.4</f>
        <v>2382.7999999999997</v>
      </c>
      <c r="T173">
        <v>1130.9000000000001</v>
      </c>
      <c r="U173">
        <v>5166.3999999999996</v>
      </c>
      <c r="W173">
        <v>138.6</v>
      </c>
      <c r="X173">
        <f>901.9+4120.8</f>
        <v>5022.7</v>
      </c>
      <c r="Y173">
        <v>10175.4</v>
      </c>
      <c r="AD173">
        <f>SUM(AF173:AG173)</f>
        <v>12956.400000000001</v>
      </c>
      <c r="AE173">
        <f>62+625.3</f>
        <v>687.3</v>
      </c>
      <c r="AF173">
        <f>5588.8</f>
        <v>5588.8</v>
      </c>
      <c r="AG173">
        <f>7367.6</f>
        <v>7367.6</v>
      </c>
      <c r="AH173">
        <f>SUM(AI173:AK173)</f>
        <v>699.42000000000007</v>
      </c>
      <c r="AI173">
        <v>297.62</v>
      </c>
      <c r="AJ173">
        <v>401.8</v>
      </c>
      <c r="AL173">
        <v>4408.6000000000004</v>
      </c>
      <c r="AM173">
        <v>9404.5</v>
      </c>
    </row>
    <row r="174" spans="1:40" x14ac:dyDescent="0.3">
      <c r="M174" s="19">
        <f>SUM(N174,S174,T174,U174,Y174,AD174,AH174,AL174,AM174,X174,W174)</f>
        <v>1.0000000000000002</v>
      </c>
      <c r="N174" s="5">
        <f>N173/$M$173</f>
        <v>0.1818757625364246</v>
      </c>
      <c r="O174" s="5">
        <f t="shared" ref="O174:AM174" si="55">O173/$M$173</f>
        <v>8.3331982656676115E-2</v>
      </c>
      <c r="P174" s="5">
        <f t="shared" si="55"/>
        <v>5.4424324129345891E-2</v>
      </c>
      <c r="Q174" s="5">
        <f t="shared" si="55"/>
        <v>5.8253889710418111E-3</v>
      </c>
      <c r="R174" s="5">
        <f t="shared" si="55"/>
        <v>3.8294066779360779E-2</v>
      </c>
      <c r="S174" s="5">
        <f t="shared" si="55"/>
        <v>3.7863439280410326E-2</v>
      </c>
      <c r="T174" s="5">
        <f t="shared" si="55"/>
        <v>1.7970355666533509E-2</v>
      </c>
      <c r="U174" s="5">
        <f t="shared" si="55"/>
        <v>8.2095716257475207E-2</v>
      </c>
      <c r="V174" s="5">
        <f t="shared" si="55"/>
        <v>0</v>
      </c>
      <c r="W174" s="5">
        <f t="shared" si="55"/>
        <v>2.2023974669568877E-3</v>
      </c>
      <c r="X174" s="5">
        <f t="shared" si="55"/>
        <v>7.9812278191084843E-2</v>
      </c>
      <c r="Y174" s="5">
        <f t="shared" si="55"/>
        <v>0.16169029715204267</v>
      </c>
      <c r="Z174" s="5">
        <f t="shared" si="55"/>
        <v>0</v>
      </c>
      <c r="AA174" s="5">
        <f t="shared" si="55"/>
        <v>0</v>
      </c>
      <c r="AB174" s="5">
        <f t="shared" si="55"/>
        <v>0</v>
      </c>
      <c r="AC174" s="5">
        <f t="shared" si="55"/>
        <v>0</v>
      </c>
      <c r="AD174" s="5">
        <f t="shared" si="55"/>
        <v>0.20588125931371012</v>
      </c>
      <c r="AE174" s="5">
        <f t="shared" si="55"/>
        <v>1.0921412547182315E-2</v>
      </c>
      <c r="AF174" s="5">
        <f t="shared" si="55"/>
        <v>8.8807784728200972E-2</v>
      </c>
      <c r="AG174" s="5">
        <f t="shared" si="55"/>
        <v>0.11707347458550914</v>
      </c>
      <c r="AH174" s="5">
        <f t="shared" si="55"/>
        <v>1.1114003148188936E-2</v>
      </c>
      <c r="AI174" s="5">
        <f t="shared" si="55"/>
        <v>4.7292751379199782E-3</v>
      </c>
      <c r="AJ174" s="5">
        <f t="shared" si="55"/>
        <v>6.3847280102689577E-3</v>
      </c>
      <c r="AK174" s="5">
        <f t="shared" si="55"/>
        <v>0</v>
      </c>
      <c r="AL174" s="5">
        <f t="shared" si="55"/>
        <v>7.0054036600477168E-2</v>
      </c>
      <c r="AM174" s="5">
        <f t="shared" si="55"/>
        <v>0.1494404543866959</v>
      </c>
      <c r="AN174" s="5"/>
    </row>
    <row r="176" spans="1:40" x14ac:dyDescent="0.3">
      <c r="A176" t="s">
        <v>165</v>
      </c>
      <c r="K176">
        <v>2023</v>
      </c>
      <c r="L176">
        <v>6098.34</v>
      </c>
      <c r="M176" s="30">
        <f>SUM(N176,S176,T176,U176,Y176,AD176,AH176,AL176,AM176,X176,W176)</f>
        <v>6098.34</v>
      </c>
      <c r="N176">
        <v>1526.62</v>
      </c>
      <c r="U176">
        <v>4.7699999999999996</v>
      </c>
      <c r="W176">
        <f>1.22</f>
        <v>1.22</v>
      </c>
      <c r="X176">
        <v>58.54</v>
      </c>
      <c r="Y176">
        <f>SUM(Z176:AC176)</f>
        <v>1206.3700000000001</v>
      </c>
      <c r="Z176">
        <v>231.39</v>
      </c>
      <c r="AA176">
        <v>941.99</v>
      </c>
      <c r="AB176">
        <v>32.99</v>
      </c>
      <c r="AD176">
        <v>1.7</v>
      </c>
      <c r="AH176">
        <f>SUM(AI176:AK176)</f>
        <v>7.2700000000000005</v>
      </c>
      <c r="AI176">
        <v>1.36</v>
      </c>
      <c r="AJ176">
        <v>5.91</v>
      </c>
      <c r="AM176">
        <f>1447.81+1760.02+84.02</f>
        <v>3291.85</v>
      </c>
    </row>
    <row r="177" spans="1:39" x14ac:dyDescent="0.3">
      <c r="M177" s="19">
        <f>SUM(N177,S177,T177,U177,Y177,AD177,AH177,AL177,AM177,X177,W177)</f>
        <v>1</v>
      </c>
      <c r="N177" s="5">
        <f>N176/$L$176</f>
        <v>0.25033369736682437</v>
      </c>
      <c r="O177" s="5">
        <f t="shared" ref="O177:AM177" si="56">O176/$L$176</f>
        <v>0</v>
      </c>
      <c r="P177" s="5">
        <f t="shared" si="56"/>
        <v>0</v>
      </c>
      <c r="Q177" s="5">
        <f t="shared" si="56"/>
        <v>0</v>
      </c>
      <c r="R177" s="5">
        <f t="shared" si="56"/>
        <v>0</v>
      </c>
      <c r="S177" s="5">
        <f t="shared" si="56"/>
        <v>0</v>
      </c>
      <c r="T177" s="5">
        <f t="shared" si="56"/>
        <v>0</v>
      </c>
      <c r="U177" s="5">
        <f t="shared" si="56"/>
        <v>7.8218006867442611E-4</v>
      </c>
      <c r="V177" s="5">
        <f t="shared" si="56"/>
        <v>0</v>
      </c>
      <c r="W177" s="5">
        <f t="shared" si="56"/>
        <v>2.0005444104461212E-4</v>
      </c>
      <c r="X177" s="5">
        <f t="shared" si="56"/>
        <v>9.599333589140651E-3</v>
      </c>
      <c r="Y177" s="5">
        <f t="shared" si="56"/>
        <v>0.19781940659261374</v>
      </c>
      <c r="Z177" s="5">
        <f t="shared" si="56"/>
        <v>3.794311238796131E-2</v>
      </c>
      <c r="AA177" s="5">
        <f t="shared" si="56"/>
        <v>0.15446662534394606</v>
      </c>
      <c r="AB177" s="5">
        <f t="shared" si="56"/>
        <v>5.4096688607063563E-3</v>
      </c>
      <c r="AC177" s="5">
        <f t="shared" si="56"/>
        <v>0</v>
      </c>
      <c r="AD177" s="5">
        <f t="shared" si="56"/>
        <v>2.7876438506216442E-4</v>
      </c>
      <c r="AE177" s="5">
        <f t="shared" si="56"/>
        <v>0</v>
      </c>
      <c r="AF177" s="5">
        <f t="shared" si="56"/>
        <v>0</v>
      </c>
      <c r="AG177" s="5">
        <f t="shared" si="56"/>
        <v>0</v>
      </c>
      <c r="AH177" s="5">
        <f t="shared" si="56"/>
        <v>1.1921276937658445E-3</v>
      </c>
      <c r="AI177" s="5">
        <f t="shared" si="56"/>
        <v>2.2301150804973158E-4</v>
      </c>
      <c r="AJ177" s="5">
        <f t="shared" si="56"/>
        <v>9.6911618571611296E-4</v>
      </c>
      <c r="AK177" s="5">
        <f t="shared" si="56"/>
        <v>0</v>
      </c>
      <c r="AL177" s="5">
        <f t="shared" si="56"/>
        <v>0</v>
      </c>
      <c r="AM177" s="5">
        <f t="shared" si="56"/>
        <v>0.53979443586287412</v>
      </c>
    </row>
    <row r="178" spans="1:39" x14ac:dyDescent="0.3">
      <c r="K178">
        <v>2047</v>
      </c>
      <c r="L178">
        <v>6098.34</v>
      </c>
      <c r="N178">
        <v>1526.62</v>
      </c>
      <c r="U178">
        <v>40.28</v>
      </c>
      <c r="W178">
        <f>91.31+3.47</f>
        <v>94.78</v>
      </c>
      <c r="X178">
        <v>62.31</v>
      </c>
      <c r="Y178">
        <f>SUM(Z178:AC178)</f>
        <v>998.06</v>
      </c>
      <c r="Z178">
        <v>231.39</v>
      </c>
      <c r="AA178">
        <v>724.89</v>
      </c>
      <c r="AB178">
        <v>41.78</v>
      </c>
      <c r="AD178">
        <v>79.88</v>
      </c>
      <c r="AH178">
        <f>SUM(AI178:AL178)</f>
        <v>13.49</v>
      </c>
      <c r="AI178">
        <v>7.58</v>
      </c>
      <c r="AJ178">
        <v>5.91</v>
      </c>
      <c r="AM178">
        <f>1447.81+1751.71+75.1</f>
        <v>3274.62</v>
      </c>
    </row>
    <row r="179" spans="1:39" x14ac:dyDescent="0.3">
      <c r="M179" s="19">
        <f>SUM(N179,S179,T179,U179,Y179,AD179,AH179,AL179,AM179,X179,W179)</f>
        <v>0.99863897388469647</v>
      </c>
      <c r="N179" s="5">
        <f>N178/$L$178</f>
        <v>0.25033369736682437</v>
      </c>
      <c r="O179" s="5">
        <f t="shared" ref="O179:AM179" si="57">O178/$L$178</f>
        <v>0</v>
      </c>
      <c r="P179" s="5">
        <f t="shared" si="57"/>
        <v>0</v>
      </c>
      <c r="Q179" s="5">
        <f t="shared" si="57"/>
        <v>0</v>
      </c>
      <c r="R179" s="5">
        <f t="shared" si="57"/>
        <v>0</v>
      </c>
      <c r="S179" s="5">
        <f t="shared" si="57"/>
        <v>0</v>
      </c>
      <c r="T179" s="5">
        <f t="shared" si="57"/>
        <v>0</v>
      </c>
      <c r="U179" s="5">
        <f t="shared" si="57"/>
        <v>6.605076135472932E-3</v>
      </c>
      <c r="V179" s="5">
        <f t="shared" si="57"/>
        <v>0</v>
      </c>
      <c r="W179" s="5">
        <f t="shared" si="57"/>
        <v>1.5541934362465851E-2</v>
      </c>
      <c r="X179" s="5">
        <f t="shared" si="57"/>
        <v>1.021753460777851E-2</v>
      </c>
      <c r="Y179" s="5">
        <f t="shared" si="57"/>
        <v>0.16366093067949639</v>
      </c>
      <c r="Z179" s="5">
        <f t="shared" si="57"/>
        <v>3.794311238796131E-2</v>
      </c>
      <c r="AA179" s="5">
        <f t="shared" si="57"/>
        <v>0.11886677358100728</v>
      </c>
      <c r="AB179" s="5">
        <f t="shared" si="57"/>
        <v>6.851044710527783E-3</v>
      </c>
      <c r="AC179" s="5">
        <f t="shared" si="57"/>
        <v>0</v>
      </c>
      <c r="AD179" s="5">
        <f t="shared" si="57"/>
        <v>1.3098646516920998E-2</v>
      </c>
      <c r="AE179" s="5">
        <f t="shared" si="57"/>
        <v>0</v>
      </c>
      <c r="AF179" s="5">
        <f t="shared" si="57"/>
        <v>0</v>
      </c>
      <c r="AG179" s="5">
        <f t="shared" si="57"/>
        <v>0</v>
      </c>
      <c r="AH179" s="5">
        <f t="shared" si="57"/>
        <v>2.2120773849932931E-3</v>
      </c>
      <c r="AI179" s="5">
        <f t="shared" si="57"/>
        <v>1.2429611992771804E-3</v>
      </c>
      <c r="AJ179" s="5">
        <f t="shared" si="57"/>
        <v>9.6911618571611296E-4</v>
      </c>
      <c r="AK179" s="5">
        <f t="shared" si="57"/>
        <v>0</v>
      </c>
      <c r="AL179" s="5">
        <f t="shared" si="57"/>
        <v>0</v>
      </c>
      <c r="AM179" s="5">
        <f t="shared" si="57"/>
        <v>0.53696907683074402</v>
      </c>
    </row>
    <row r="181" spans="1:39" x14ac:dyDescent="0.3">
      <c r="A181" t="s">
        <v>167</v>
      </c>
    </row>
    <row r="182" spans="1:39" x14ac:dyDescent="0.3">
      <c r="H182">
        <v>24937</v>
      </c>
      <c r="I182">
        <v>60724</v>
      </c>
      <c r="K182">
        <v>2024</v>
      </c>
      <c r="L182">
        <v>11452.7</v>
      </c>
      <c r="M182" s="30">
        <f>SUM(N182,S182,T182,U182,Y182,AD182,AH182,AL182,AM182,X182,W182)</f>
        <v>11452.689999999999</v>
      </c>
      <c r="N182">
        <v>1053.26</v>
      </c>
      <c r="T182">
        <v>46.64</v>
      </c>
      <c r="U182">
        <v>248.06</v>
      </c>
      <c r="V182">
        <v>248.06</v>
      </c>
      <c r="W182">
        <v>162.49</v>
      </c>
      <c r="X182">
        <v>17.309999999999999</v>
      </c>
      <c r="Y182">
        <f>4979.18+430.46+79.07</f>
        <v>5488.71</v>
      </c>
      <c r="AD182">
        <v>3328.15</v>
      </c>
      <c r="AH182">
        <v>35.380000000000003</v>
      </c>
      <c r="AM182">
        <f>68.27+1004.42</f>
        <v>1072.69</v>
      </c>
    </row>
    <row r="183" spans="1:39" x14ac:dyDescent="0.3">
      <c r="M183" s="19">
        <f>SUM(N183,S183,T183,U183,Y183,AD183,AH183,AL183,AM183,X183,W183)</f>
        <v>0.99999912684345171</v>
      </c>
      <c r="N183" s="5">
        <f>N182/$L182</f>
        <v>9.1966086599666444E-2</v>
      </c>
      <c r="O183" s="5">
        <f>O182/$L182</f>
        <v>0</v>
      </c>
      <c r="P183" s="5">
        <f t="shared" ref="P183:AM183" si="58">P182/$L182</f>
        <v>0</v>
      </c>
      <c r="Q183" s="5">
        <f t="shared" si="58"/>
        <v>0</v>
      </c>
      <c r="R183" s="5">
        <f t="shared" si="58"/>
        <v>0</v>
      </c>
      <c r="S183" s="5">
        <f t="shared" si="58"/>
        <v>0</v>
      </c>
      <c r="T183" s="5">
        <f t="shared" si="58"/>
        <v>4.0724021409798564E-3</v>
      </c>
      <c r="U183" s="5">
        <f t="shared" si="58"/>
        <v>2.1659521335580256E-2</v>
      </c>
      <c r="V183" s="5">
        <f t="shared" si="58"/>
        <v>2.1659521335580256E-2</v>
      </c>
      <c r="W183" s="5">
        <f t="shared" si="58"/>
        <v>1.4187920752311681E-2</v>
      </c>
      <c r="X183" s="5">
        <f t="shared" si="58"/>
        <v>1.5114339849991703E-3</v>
      </c>
      <c r="Y183" s="5">
        <f t="shared" si="58"/>
        <v>0.47925030778768324</v>
      </c>
      <c r="Z183" s="5">
        <f t="shared" si="58"/>
        <v>0</v>
      </c>
      <c r="AA183" s="5">
        <f t="shared" si="58"/>
        <v>0</v>
      </c>
      <c r="AB183" s="5">
        <f t="shared" si="58"/>
        <v>0</v>
      </c>
      <c r="AC183" s="5">
        <f t="shared" si="58"/>
        <v>0</v>
      </c>
      <c r="AD183" s="5">
        <f t="shared" si="58"/>
        <v>0.29059959660167473</v>
      </c>
      <c r="AE183" s="5">
        <f t="shared" si="58"/>
        <v>0</v>
      </c>
      <c r="AF183" s="5">
        <f t="shared" si="58"/>
        <v>0</v>
      </c>
      <c r="AG183" s="5">
        <f t="shared" si="58"/>
        <v>0</v>
      </c>
      <c r="AH183" s="5">
        <f t="shared" si="58"/>
        <v>3.0892278676643934E-3</v>
      </c>
      <c r="AI183" s="5">
        <f t="shared" si="58"/>
        <v>0</v>
      </c>
      <c r="AJ183" s="5">
        <f t="shared" si="58"/>
        <v>0</v>
      </c>
      <c r="AK183" s="5">
        <f t="shared" si="58"/>
        <v>0</v>
      </c>
      <c r="AL183" s="5">
        <f t="shared" si="58"/>
        <v>0</v>
      </c>
      <c r="AM183" s="5">
        <f t="shared" si="58"/>
        <v>9.3662629772891984E-2</v>
      </c>
    </row>
    <row r="184" spans="1:39" x14ac:dyDescent="0.3">
      <c r="K184">
        <v>2050</v>
      </c>
      <c r="L184">
        <v>11452.7</v>
      </c>
      <c r="M184" s="30">
        <f>SUM(N184,S184,T184,U184,Y184,AD184,AH184,AL184,AM184,X184,W184)</f>
        <v>11452.689999999999</v>
      </c>
      <c r="N184">
        <v>2132.11</v>
      </c>
      <c r="T184">
        <v>100.62</v>
      </c>
      <c r="U184">
        <v>220.75</v>
      </c>
      <c r="V184">
        <v>220.75</v>
      </c>
      <c r="W184">
        <v>163.66</v>
      </c>
      <c r="X184">
        <v>19.43</v>
      </c>
      <c r="Y184">
        <f>4964.25+287.21+65.77</f>
        <v>5317.2300000000005</v>
      </c>
      <c r="AD184">
        <v>3328.88</v>
      </c>
      <c r="AH184">
        <v>35.380000000000003</v>
      </c>
      <c r="AM184">
        <f>68.27+66.36</f>
        <v>134.63</v>
      </c>
    </row>
    <row r="185" spans="1:39" x14ac:dyDescent="0.3">
      <c r="M185" s="19">
        <f>SUM(N185,S185,T185,U185,Y185,AD185,AH185,AL185,AM185,X185,W185)</f>
        <v>0.99999912684345171</v>
      </c>
      <c r="N185" s="5">
        <f>N184/$L184</f>
        <v>0.18616658080627277</v>
      </c>
      <c r="O185" s="5">
        <f>O184/$L184</f>
        <v>0</v>
      </c>
      <c r="P185" s="5">
        <f t="shared" ref="P185:AM185" si="59">P184/$L184</f>
        <v>0</v>
      </c>
      <c r="Q185" s="5">
        <f t="shared" si="59"/>
        <v>0</v>
      </c>
      <c r="R185" s="5">
        <f t="shared" si="59"/>
        <v>0</v>
      </c>
      <c r="S185" s="5">
        <f t="shared" si="59"/>
        <v>0</v>
      </c>
      <c r="T185" s="5">
        <f t="shared" si="59"/>
        <v>8.7857011883660623E-3</v>
      </c>
      <c r="U185" s="5">
        <f t="shared" si="59"/>
        <v>1.9274930802343552E-2</v>
      </c>
      <c r="V185" s="5">
        <f t="shared" si="59"/>
        <v>1.9274930802343552E-2</v>
      </c>
      <c r="W185" s="5">
        <f t="shared" si="59"/>
        <v>1.4290080068455472E-2</v>
      </c>
      <c r="X185" s="5">
        <f t="shared" si="59"/>
        <v>1.6965431732255275E-3</v>
      </c>
      <c r="Y185" s="5">
        <f t="shared" si="59"/>
        <v>0.46427741929850602</v>
      </c>
      <c r="Z185" s="5">
        <f t="shared" si="59"/>
        <v>0</v>
      </c>
      <c r="AA185" s="5">
        <f t="shared" si="59"/>
        <v>0</v>
      </c>
      <c r="AB185" s="5">
        <f t="shared" si="59"/>
        <v>0</v>
      </c>
      <c r="AC185" s="5">
        <f t="shared" si="59"/>
        <v>0</v>
      </c>
      <c r="AD185" s="5">
        <f t="shared" si="59"/>
        <v>0.29066333702969605</v>
      </c>
      <c r="AE185" s="5">
        <f t="shared" si="59"/>
        <v>0</v>
      </c>
      <c r="AF185" s="5">
        <f t="shared" si="59"/>
        <v>0</v>
      </c>
      <c r="AG185" s="5">
        <f t="shared" si="59"/>
        <v>0</v>
      </c>
      <c r="AH185" s="5">
        <f t="shared" si="59"/>
        <v>3.0892278676643934E-3</v>
      </c>
      <c r="AI185" s="5">
        <f t="shared" si="59"/>
        <v>0</v>
      </c>
      <c r="AJ185" s="5">
        <f t="shared" si="59"/>
        <v>0</v>
      </c>
      <c r="AK185" s="5">
        <f t="shared" si="59"/>
        <v>0</v>
      </c>
      <c r="AL185" s="5">
        <f t="shared" si="59"/>
        <v>0</v>
      </c>
      <c r="AM185" s="5">
        <f t="shared" si="59"/>
        <v>1.1755306608921913E-2</v>
      </c>
    </row>
    <row r="187" spans="1:39" x14ac:dyDescent="0.3">
      <c r="A187" t="s">
        <v>168</v>
      </c>
      <c r="H187">
        <v>17027</v>
      </c>
      <c r="I187">
        <v>29694</v>
      </c>
      <c r="K187">
        <v>2025</v>
      </c>
      <c r="L187">
        <v>4025.03</v>
      </c>
      <c r="M187" s="30">
        <f>SUM(N187,S187,T187,U187,AA187,AF187,AH187,AL187,AM187,X187,W187)</f>
        <v>3305.5</v>
      </c>
      <c r="N187">
        <v>462.14</v>
      </c>
      <c r="T187">
        <v>39.4</v>
      </c>
      <c r="U187">
        <v>56.53</v>
      </c>
      <c r="W187">
        <v>18.55</v>
      </c>
      <c r="X187">
        <v>86.87</v>
      </c>
      <c r="Y187">
        <f>SUM(Z187:AC187)</f>
        <v>866.8</v>
      </c>
      <c r="Z187">
        <v>655.26</v>
      </c>
      <c r="AA187">
        <v>211.54</v>
      </c>
      <c r="AB187">
        <v>0</v>
      </c>
      <c r="AD187">
        <f>SUM(AE187:AG187)</f>
        <v>895.23</v>
      </c>
      <c r="AE187">
        <v>64.22</v>
      </c>
      <c r="AF187">
        <v>831.01</v>
      </c>
      <c r="AH187">
        <v>11.79</v>
      </c>
      <c r="AM187">
        <f>1270.52+317.15</f>
        <v>1587.67</v>
      </c>
    </row>
    <row r="188" spans="1:39" x14ac:dyDescent="0.3">
      <c r="M188" s="19">
        <f>SUM(N188,S188,T188,U188,Y188,AD188,AH188,AL188,AM188,X188,W188)</f>
        <v>0.99998757773233982</v>
      </c>
      <c r="N188" s="5">
        <f>N187/$L187</f>
        <v>0.11481653552892773</v>
      </c>
      <c r="O188" s="5">
        <f t="shared" ref="O188:AH188" si="60">O187/$L187</f>
        <v>0</v>
      </c>
      <c r="P188" s="5">
        <f t="shared" si="60"/>
        <v>0</v>
      </c>
      <c r="Q188" s="5">
        <f t="shared" si="60"/>
        <v>0</v>
      </c>
      <c r="R188" s="5">
        <f t="shared" si="60"/>
        <v>0</v>
      </c>
      <c r="S188" s="5">
        <f t="shared" si="60"/>
        <v>0</v>
      </c>
      <c r="T188" s="5">
        <f t="shared" si="60"/>
        <v>9.7887469161720524E-3</v>
      </c>
      <c r="U188" s="5">
        <f t="shared" si="60"/>
        <v>1.4044615816528076E-2</v>
      </c>
      <c r="V188" s="5">
        <f t="shared" si="60"/>
        <v>0</v>
      </c>
      <c r="W188" s="5">
        <f t="shared" si="60"/>
        <v>4.60866130190334E-3</v>
      </c>
      <c r="X188" s="5">
        <f t="shared" si="60"/>
        <v>2.1582447832686962E-2</v>
      </c>
      <c r="Y188" s="5">
        <f t="shared" si="60"/>
        <v>0.21535243215578515</v>
      </c>
      <c r="Z188" s="5">
        <f t="shared" si="60"/>
        <v>0.16279630213936291</v>
      </c>
      <c r="AA188" s="5">
        <f t="shared" si="60"/>
        <v>5.2556130016422231E-2</v>
      </c>
      <c r="AB188" s="5">
        <f t="shared" si="60"/>
        <v>0</v>
      </c>
      <c r="AC188" s="5">
        <f t="shared" si="60"/>
        <v>0</v>
      </c>
      <c r="AD188" s="5">
        <f t="shared" si="60"/>
        <v>0.2224157335473276</v>
      </c>
      <c r="AE188" s="5">
        <f t="shared" si="60"/>
        <v>1.5955160582654043E-2</v>
      </c>
      <c r="AF188" s="5">
        <f t="shared" si="60"/>
        <v>0.20646057296467354</v>
      </c>
      <c r="AG188" s="5">
        <f t="shared" si="60"/>
        <v>0</v>
      </c>
      <c r="AH188" s="5">
        <f t="shared" si="60"/>
        <v>2.9291707142555454E-3</v>
      </c>
      <c r="AI188" s="5">
        <f>AI187/$L187</f>
        <v>0</v>
      </c>
      <c r="AJ188" s="5">
        <f>AJ187/$L187</f>
        <v>0</v>
      </c>
      <c r="AK188" s="5">
        <f>AK187/$L187</f>
        <v>0</v>
      </c>
      <c r="AL188" s="5">
        <f>AL187/$L187</f>
        <v>0</v>
      </c>
      <c r="AM188" s="5">
        <f>AM187/$L187</f>
        <v>0.39444923391875342</v>
      </c>
    </row>
    <row r="189" spans="1:39" x14ac:dyDescent="0.3">
      <c r="K189">
        <v>2050</v>
      </c>
      <c r="L189">
        <v>4025.03</v>
      </c>
      <c r="M189" s="30">
        <f>SUM(N189,S189,T189,U189,AA189,AF189,AH189,AL189,AM189,X189,W189)</f>
        <v>3305.77</v>
      </c>
      <c r="N189">
        <v>579.74</v>
      </c>
      <c r="T189">
        <v>45.35</v>
      </c>
      <c r="U189">
        <v>59.27</v>
      </c>
      <c r="W189">
        <v>22.5</v>
      </c>
      <c r="X189">
        <v>165.57</v>
      </c>
      <c r="Y189">
        <f>SUM(Z189:AC189)</f>
        <v>851.18000000000006</v>
      </c>
      <c r="Z189">
        <v>657.21</v>
      </c>
      <c r="AA189">
        <v>193.49</v>
      </c>
      <c r="AB189">
        <v>0.48</v>
      </c>
      <c r="AD189">
        <f>SUM(AE189:AG189)</f>
        <v>890.76</v>
      </c>
      <c r="AE189">
        <v>61.51</v>
      </c>
      <c r="AF189">
        <v>829.25</v>
      </c>
      <c r="AH189">
        <v>11.79</v>
      </c>
      <c r="AM189">
        <f>1270.52+128.29</f>
        <v>1398.81</v>
      </c>
    </row>
    <row r="190" spans="1:39" x14ac:dyDescent="0.3">
      <c r="M190" s="19">
        <f>SUM(N190,S190,T190,U190,Y190,AD190,AH190,AL190,AM190,X190,W190)</f>
        <v>0.99998509327880802</v>
      </c>
      <c r="N190" s="5">
        <f>N189/$L189</f>
        <v>0.14403370906552249</v>
      </c>
      <c r="O190" s="5">
        <f t="shared" ref="O190:AJ190" si="61">O189/$L189</f>
        <v>0</v>
      </c>
      <c r="P190" s="5">
        <f t="shared" si="61"/>
        <v>0</v>
      </c>
      <c r="Q190" s="5">
        <f t="shared" si="61"/>
        <v>0</v>
      </c>
      <c r="R190" s="5">
        <f t="shared" si="61"/>
        <v>0</v>
      </c>
      <c r="S190" s="5">
        <f t="shared" si="61"/>
        <v>0</v>
      </c>
      <c r="T190" s="5">
        <f t="shared" si="61"/>
        <v>1.1266996767725955E-2</v>
      </c>
      <c r="U190" s="5">
        <f t="shared" si="61"/>
        <v>1.4725356084302477E-2</v>
      </c>
      <c r="V190" s="5">
        <f t="shared" si="61"/>
        <v>0</v>
      </c>
      <c r="W190" s="5">
        <f t="shared" si="61"/>
        <v>5.5900204470525679E-3</v>
      </c>
      <c r="X190" s="5">
        <f t="shared" si="61"/>
        <v>4.1135097129710828E-2</v>
      </c>
      <c r="Y190" s="5">
        <f t="shared" si="61"/>
        <v>0.21147171573876469</v>
      </c>
      <c r="Z190" s="5">
        <f t="shared" si="61"/>
        <v>0.1632807705781075</v>
      </c>
      <c r="AA190" s="5">
        <f t="shared" si="61"/>
        <v>4.8071691391120067E-2</v>
      </c>
      <c r="AB190" s="5">
        <f t="shared" si="61"/>
        <v>1.1925376953712145E-4</v>
      </c>
      <c r="AC190" s="5">
        <f t="shared" si="61"/>
        <v>0</v>
      </c>
      <c r="AD190" s="5">
        <f t="shared" si="61"/>
        <v>0.22130518281851314</v>
      </c>
      <c r="AE190" s="5">
        <f t="shared" si="61"/>
        <v>1.528187367547571E-2</v>
      </c>
      <c r="AF190" s="5">
        <f t="shared" si="61"/>
        <v>0.20602330914303743</v>
      </c>
      <c r="AG190" s="5">
        <f t="shared" si="61"/>
        <v>0</v>
      </c>
      <c r="AH190" s="5">
        <f t="shared" si="61"/>
        <v>2.9291707142555454E-3</v>
      </c>
      <c r="AI190" s="5">
        <f t="shared" si="61"/>
        <v>0</v>
      </c>
      <c r="AJ190" s="5">
        <f t="shared" si="61"/>
        <v>0</v>
      </c>
      <c r="AK190" s="5">
        <f>AK189/$L189</f>
        <v>0</v>
      </c>
      <c r="AL190" s="5">
        <f>AL189/$L189</f>
        <v>0</v>
      </c>
      <c r="AM190" s="5">
        <f>AM189/$L189</f>
        <v>0.34752784451296009</v>
      </c>
    </row>
    <row r="192" spans="1:39" x14ac:dyDescent="0.3">
      <c r="A192" t="s">
        <v>169</v>
      </c>
      <c r="H192">
        <v>98888</v>
      </c>
      <c r="I192">
        <v>103157</v>
      </c>
      <c r="K192">
        <v>2050</v>
      </c>
      <c r="L192">
        <v>5024.34</v>
      </c>
      <c r="M192" s="30">
        <f>SUM(N192,S192,T192,U192,Y192,AD192,AH192,AL192,AM192,X192,W192)</f>
        <v>5024.4199999999992</v>
      </c>
      <c r="N192">
        <f>SUM(O192:R192)</f>
        <v>1085.0999999999999</v>
      </c>
      <c r="O192">
        <v>596.73</v>
      </c>
      <c r="Q192">
        <v>488.37</v>
      </c>
      <c r="S192">
        <v>33</v>
      </c>
      <c r="T192">
        <f>26.28+41.12</f>
        <v>67.400000000000006</v>
      </c>
      <c r="U192">
        <f>947.58+135.92</f>
        <v>1083.5</v>
      </c>
      <c r="X192">
        <v>119.61</v>
      </c>
      <c r="Y192">
        <f>Z192</f>
        <v>247.1</v>
      </c>
      <c r="Z192">
        <v>247.1</v>
      </c>
      <c r="AD192">
        <f>SUM(AE192:AG192)</f>
        <v>614.22</v>
      </c>
      <c r="AE192">
        <v>2.1</v>
      </c>
      <c r="AF192">
        <v>612.12</v>
      </c>
      <c r="AH192">
        <f>AI192</f>
        <v>43.69</v>
      </c>
      <c r="AI192">
        <v>43.69</v>
      </c>
      <c r="AL192">
        <v>5.26</v>
      </c>
      <c r="AM192">
        <f>2.1+1670.12+53.32</f>
        <v>1725.5399999999997</v>
      </c>
    </row>
    <row r="193" spans="1:39" x14ac:dyDescent="0.3">
      <c r="M193" s="19">
        <f>SUM(N193,S193,T193,U193,Y193,AD193,AH193,AL193,AM193,X193,W193)</f>
        <v>1.0000159224893221</v>
      </c>
      <c r="N193" s="5">
        <f>N192/$L192</f>
        <v>0.21596866454101432</v>
      </c>
      <c r="O193" s="5">
        <f t="shared" ref="O193:AM193" si="62">O192/$L192</f>
        <v>0.11876783816381853</v>
      </c>
      <c r="P193" s="5">
        <f t="shared" si="62"/>
        <v>0</v>
      </c>
      <c r="Q193" s="5">
        <f t="shared" si="62"/>
        <v>9.7200826377195806E-2</v>
      </c>
      <c r="R193" s="5">
        <f t="shared" si="62"/>
        <v>0</v>
      </c>
      <c r="S193" s="5">
        <f t="shared" si="62"/>
        <v>6.5680268453169963E-3</v>
      </c>
      <c r="T193" s="5">
        <f t="shared" si="62"/>
        <v>1.3414697253768655E-2</v>
      </c>
      <c r="U193" s="5">
        <f t="shared" si="62"/>
        <v>0.21565021475457472</v>
      </c>
      <c r="V193" s="5">
        <f t="shared" si="62"/>
        <v>0</v>
      </c>
      <c r="W193" s="5">
        <f t="shared" si="62"/>
        <v>0</v>
      </c>
      <c r="X193" s="5">
        <f t="shared" si="62"/>
        <v>2.3806111847526241E-2</v>
      </c>
      <c r="Y193" s="5">
        <f t="shared" si="62"/>
        <v>4.9180588893267568E-2</v>
      </c>
      <c r="Z193" s="5">
        <f t="shared" si="62"/>
        <v>4.9180588893267568E-2</v>
      </c>
      <c r="AA193" s="5">
        <f t="shared" si="62"/>
        <v>0</v>
      </c>
      <c r="AB193" s="5">
        <f t="shared" si="62"/>
        <v>0</v>
      </c>
      <c r="AC193" s="5">
        <f t="shared" si="62"/>
        <v>0</v>
      </c>
      <c r="AD193" s="5">
        <f t="shared" si="62"/>
        <v>0.12224889239183655</v>
      </c>
      <c r="AE193" s="5">
        <f t="shared" si="62"/>
        <v>4.1796534470199071E-4</v>
      </c>
      <c r="AF193" s="5">
        <f t="shared" si="62"/>
        <v>0.12183092704713455</v>
      </c>
      <c r="AG193" s="5">
        <f t="shared" si="62"/>
        <v>0</v>
      </c>
      <c r="AH193" s="5">
        <f t="shared" si="62"/>
        <v>8.6956694809666533E-3</v>
      </c>
      <c r="AI193" s="5">
        <f t="shared" si="62"/>
        <v>8.6956694809666533E-3</v>
      </c>
      <c r="AJ193" s="5">
        <f t="shared" si="62"/>
        <v>0</v>
      </c>
      <c r="AK193" s="5">
        <f t="shared" si="62"/>
        <v>0</v>
      </c>
      <c r="AL193" s="5">
        <f t="shared" si="62"/>
        <v>1.0469036729202242E-3</v>
      </c>
      <c r="AM193" s="5">
        <f t="shared" si="62"/>
        <v>0.34343615280812995</v>
      </c>
    </row>
    <row r="195" spans="1:39" x14ac:dyDescent="0.3">
      <c r="A195" t="s">
        <v>170</v>
      </c>
      <c r="L195">
        <v>7843.77</v>
      </c>
      <c r="M195" s="30">
        <f>SUM(N195,S195,T195,U195,Y195,AD195,AH195,AL195,AM195,X195,W195)</f>
        <v>7843.7750000000005</v>
      </c>
      <c r="N195">
        <v>783.125</v>
      </c>
      <c r="T195">
        <v>2.2599999999999998</v>
      </c>
      <c r="U195">
        <f>139.8+63.13</f>
        <v>202.93</v>
      </c>
      <c r="X195">
        <f>2.09+154.82</f>
        <v>156.91</v>
      </c>
      <c r="Y195">
        <v>1952.5</v>
      </c>
      <c r="AD195">
        <v>35.46</v>
      </c>
      <c r="AH195">
        <v>9.27</v>
      </c>
      <c r="AM195">
        <f>39.46+4579.93+81.93</f>
        <v>4701.3200000000006</v>
      </c>
    </row>
    <row r="196" spans="1:39" x14ac:dyDescent="0.3">
      <c r="M196" s="19">
        <f>SUM(N196,S196,T196,U196,Y196,AD196,AH196,AL196,AM196,X196,W196)</f>
        <v>1.0000006374485739</v>
      </c>
      <c r="N196" s="5">
        <f>N195/$L195</f>
        <v>9.9840382877111389E-2</v>
      </c>
      <c r="O196" s="5">
        <f t="shared" ref="O196:AM196" si="63">O195/$L195</f>
        <v>0</v>
      </c>
      <c r="P196" s="5">
        <f t="shared" si="63"/>
        <v>0</v>
      </c>
      <c r="Q196" s="5">
        <f t="shared" si="63"/>
        <v>0</v>
      </c>
      <c r="R196" s="5">
        <f t="shared" si="63"/>
        <v>0</v>
      </c>
      <c r="S196" s="5">
        <f t="shared" si="63"/>
        <v>0</v>
      </c>
      <c r="T196" s="5">
        <f t="shared" si="63"/>
        <v>2.8812675537401018E-4</v>
      </c>
      <c r="U196" s="5">
        <f t="shared" si="63"/>
        <v>2.5871487817720303E-2</v>
      </c>
      <c r="V196" s="5">
        <f t="shared" si="63"/>
        <v>0</v>
      </c>
      <c r="W196" s="5">
        <f t="shared" si="63"/>
        <v>0</v>
      </c>
      <c r="X196" s="5">
        <f t="shared" si="63"/>
        <v>2.0004411144130946E-2</v>
      </c>
      <c r="Y196" s="5">
        <f t="shared" si="63"/>
        <v>0.24892366808307739</v>
      </c>
      <c r="Z196" s="5">
        <f t="shared" si="63"/>
        <v>0</v>
      </c>
      <c r="AA196" s="5">
        <f t="shared" si="63"/>
        <v>0</v>
      </c>
      <c r="AB196" s="5">
        <f t="shared" si="63"/>
        <v>0</v>
      </c>
      <c r="AC196" s="5">
        <f t="shared" si="63"/>
        <v>0</v>
      </c>
      <c r="AD196" s="5">
        <f t="shared" si="63"/>
        <v>4.52078528564708E-3</v>
      </c>
      <c r="AE196" s="5">
        <f t="shared" si="63"/>
        <v>0</v>
      </c>
      <c r="AF196" s="5">
        <f t="shared" si="63"/>
        <v>0</v>
      </c>
      <c r="AG196" s="5">
        <f t="shared" si="63"/>
        <v>0</v>
      </c>
      <c r="AH196" s="5">
        <f t="shared" si="63"/>
        <v>1.1818296558925108E-3</v>
      </c>
      <c r="AI196" s="5">
        <f t="shared" si="63"/>
        <v>0</v>
      </c>
      <c r="AJ196" s="5">
        <f t="shared" si="63"/>
        <v>0</v>
      </c>
      <c r="AK196" s="5">
        <f t="shared" si="63"/>
        <v>0</v>
      </c>
      <c r="AL196" s="5">
        <f t="shared" si="63"/>
        <v>0</v>
      </c>
      <c r="AM196" s="5">
        <f t="shared" si="63"/>
        <v>0.59936994582962022</v>
      </c>
    </row>
    <row r="197" spans="1:39" x14ac:dyDescent="0.3">
      <c r="L197">
        <v>7843.77</v>
      </c>
      <c r="M197" s="30">
        <f>SUM(N197,S197,T197,U197,Y197,AD197,AH197,AL197,AM197,X197,W197)</f>
        <v>7843.7711000000008</v>
      </c>
      <c r="N197">
        <v>784.68110000000001</v>
      </c>
      <c r="T197">
        <v>2.2599999999999998</v>
      </c>
      <c r="U197">
        <f>151.11+63.13</f>
        <v>214.24</v>
      </c>
      <c r="X197">
        <f>213.79+2.09</f>
        <v>215.88</v>
      </c>
      <c r="Y197">
        <v>1869.1</v>
      </c>
      <c r="AD197">
        <v>35.46</v>
      </c>
      <c r="AH197">
        <v>18.91</v>
      </c>
      <c r="AM197">
        <f>83.85+39.46+4579.93</f>
        <v>4703.2400000000007</v>
      </c>
    </row>
    <row r="198" spans="1:39" x14ac:dyDescent="0.3">
      <c r="M198" s="19">
        <f>SUM(N198,S198,T198,U198,Y198,AD198,AH198,AL198,AM198,X198,W198)</f>
        <v>1.0000001402386862</v>
      </c>
      <c r="N198" s="5">
        <f>N197/$L197</f>
        <v>0.10003876962226071</v>
      </c>
      <c r="O198" s="5">
        <f t="shared" ref="O198:AM198" si="64">O197/$L197</f>
        <v>0</v>
      </c>
      <c r="P198" s="5">
        <f t="shared" si="64"/>
        <v>0</v>
      </c>
      <c r="Q198" s="5">
        <f t="shared" si="64"/>
        <v>0</v>
      </c>
      <c r="R198" s="5">
        <f t="shared" si="64"/>
        <v>0</v>
      </c>
      <c r="S198" s="5">
        <f t="shared" si="64"/>
        <v>0</v>
      </c>
      <c r="T198" s="5">
        <f t="shared" si="64"/>
        <v>2.8812675537401018E-4</v>
      </c>
      <c r="U198" s="5">
        <f t="shared" si="64"/>
        <v>2.7313396491738029E-2</v>
      </c>
      <c r="V198" s="5">
        <f t="shared" si="64"/>
        <v>0</v>
      </c>
      <c r="W198" s="5">
        <f t="shared" si="64"/>
        <v>0</v>
      </c>
      <c r="X198" s="5">
        <f t="shared" si="64"/>
        <v>2.7522479623956334E-2</v>
      </c>
      <c r="Y198" s="5">
        <f t="shared" si="64"/>
        <v>0.23829102587148779</v>
      </c>
      <c r="Z198" s="5">
        <f t="shared" si="64"/>
        <v>0</v>
      </c>
      <c r="AA198" s="5">
        <f t="shared" si="64"/>
        <v>0</v>
      </c>
      <c r="AB198" s="5">
        <f t="shared" si="64"/>
        <v>0</v>
      </c>
      <c r="AC198" s="5">
        <f t="shared" si="64"/>
        <v>0</v>
      </c>
      <c r="AD198" s="5">
        <f t="shared" si="64"/>
        <v>4.52078528564708E-3</v>
      </c>
      <c r="AE198" s="5">
        <f t="shared" si="64"/>
        <v>0</v>
      </c>
      <c r="AF198" s="5">
        <f t="shared" si="64"/>
        <v>0</v>
      </c>
      <c r="AG198" s="5">
        <f t="shared" si="64"/>
        <v>0</v>
      </c>
      <c r="AH198" s="5">
        <f>AH197/$L197</f>
        <v>2.4108305062489083E-3</v>
      </c>
      <c r="AI198" s="5">
        <f t="shared" si="64"/>
        <v>0</v>
      </c>
      <c r="AJ198" s="5">
        <f t="shared" si="64"/>
        <v>0</v>
      </c>
      <c r="AK198" s="5">
        <f t="shared" si="64"/>
        <v>0</v>
      </c>
      <c r="AL198" s="5">
        <f t="shared" si="64"/>
        <v>0</v>
      </c>
      <c r="AM198" s="5">
        <f t="shared" si="64"/>
        <v>0.59961472608197341</v>
      </c>
    </row>
    <row r="200" spans="1:39" x14ac:dyDescent="0.3">
      <c r="A200" t="s">
        <v>171</v>
      </c>
      <c r="L200">
        <v>7464.53</v>
      </c>
      <c r="M200" s="30">
        <f>SUM(N200,S200,T200,U200,Y200,AD200,AH200,AL200,AM200,X200,W200)</f>
        <v>7464.5199999999995</v>
      </c>
      <c r="N200">
        <f>SUM(O200:R200)</f>
        <v>848.57</v>
      </c>
      <c r="O200">
        <v>744.15</v>
      </c>
      <c r="P200">
        <v>98.7</v>
      </c>
      <c r="Q200">
        <v>5.72</v>
      </c>
      <c r="R200">
        <v>0</v>
      </c>
      <c r="S200">
        <v>0</v>
      </c>
      <c r="T200">
        <f>12.08+13.46+0.91</f>
        <v>26.45</v>
      </c>
      <c r="U200">
        <f>3.99+5.71+0.09</f>
        <v>9.7899999999999991</v>
      </c>
      <c r="W200">
        <v>11.29</v>
      </c>
      <c r="X200">
        <v>78.23</v>
      </c>
      <c r="Y200">
        <f>SUM(Z200:AC200)</f>
        <v>3839.6799999999994</v>
      </c>
      <c r="Z200">
        <v>101.14</v>
      </c>
      <c r="AA200">
        <v>3691.91</v>
      </c>
      <c r="AB200">
        <v>44.45</v>
      </c>
      <c r="AC200">
        <v>2.1800000000000002</v>
      </c>
      <c r="AD200">
        <v>4.88</v>
      </c>
      <c r="AH200">
        <f>SUM(AI200:AK200)</f>
        <v>1024.81</v>
      </c>
      <c r="AI200">
        <f>5.32</f>
        <v>5.32</v>
      </c>
      <c r="AK200">
        <v>1019.49</v>
      </c>
      <c r="AM200">
        <f>1024.88+29.28+566.66</f>
        <v>1620.8200000000002</v>
      </c>
    </row>
    <row r="201" spans="1:39" x14ac:dyDescent="0.3">
      <c r="M201" s="19">
        <f>SUM(N201,S201,T201,U201,Y201,AD201,AH201,AL201,AM201,X201,W201)</f>
        <v>0.99999866033092488</v>
      </c>
      <c r="N201" s="5">
        <f>N200/$L200</f>
        <v>0.11368029869261696</v>
      </c>
      <c r="O201" s="5">
        <f t="shared" ref="O201:AM201" si="65">O200/$L200</f>
        <v>9.9691474212040138E-2</v>
      </c>
      <c r="P201" s="5">
        <f t="shared" si="65"/>
        <v>1.3222533769708207E-2</v>
      </c>
      <c r="Q201" s="5">
        <f t="shared" si="65"/>
        <v>7.6629071086860127E-4</v>
      </c>
      <c r="R201" s="5">
        <f t="shared" si="65"/>
        <v>0</v>
      </c>
      <c r="S201" s="5">
        <f t="shared" si="65"/>
        <v>0</v>
      </c>
      <c r="T201" s="5">
        <f t="shared" si="65"/>
        <v>3.543424703229808E-3</v>
      </c>
      <c r="U201" s="5">
        <f>U200/$L200</f>
        <v>1.3115360243712596E-3</v>
      </c>
      <c r="V201" s="5">
        <f t="shared" si="65"/>
        <v>0</v>
      </c>
      <c r="W201" s="5">
        <f t="shared" si="65"/>
        <v>1.5124863856130258E-3</v>
      </c>
      <c r="X201" s="5">
        <f t="shared" si="65"/>
        <v>1.0480231173295574E-2</v>
      </c>
      <c r="Y201" s="5">
        <f>Y200/$L200</f>
        <v>0.51439005536852278</v>
      </c>
      <c r="Z201" s="5">
        <f>Z200/$L200</f>
        <v>1.3549413023994813E-2</v>
      </c>
      <c r="AA201" s="5">
        <f>AA200/$L200</f>
        <v>0.494593765448059</v>
      </c>
      <c r="AB201" s="5">
        <f>AB200/$L200</f>
        <v>5.9548290381310019E-3</v>
      </c>
      <c r="AC201" s="5">
        <f t="shared" si="65"/>
        <v>2.9204785833803338E-4</v>
      </c>
      <c r="AD201" s="5">
        <f t="shared" si="65"/>
        <v>6.5375850857321224E-4</v>
      </c>
      <c r="AE201" s="5">
        <f t="shared" si="65"/>
        <v>0</v>
      </c>
      <c r="AF201" s="5">
        <f t="shared" si="65"/>
        <v>0</v>
      </c>
      <c r="AG201" s="5">
        <f t="shared" si="65"/>
        <v>0</v>
      </c>
      <c r="AH201" s="5">
        <f t="shared" si="65"/>
        <v>0.13729062646944951</v>
      </c>
      <c r="AI201" s="5">
        <f t="shared" si="65"/>
        <v>7.1270394787079701E-4</v>
      </c>
      <c r="AJ201" s="5">
        <f t="shared" si="65"/>
        <v>0</v>
      </c>
      <c r="AK201" s="5">
        <f t="shared" si="65"/>
        <v>0.13657792252157872</v>
      </c>
      <c r="AL201" s="5">
        <f t="shared" si="65"/>
        <v>0</v>
      </c>
      <c r="AM201" s="5">
        <f t="shared" si="65"/>
        <v>0.21713624300525286</v>
      </c>
    </row>
    <row r="202" spans="1:39" x14ac:dyDescent="0.3">
      <c r="L202">
        <v>7464.53</v>
      </c>
      <c r="M202" s="30">
        <v>0</v>
      </c>
      <c r="N202">
        <f>SUM(O202:R202)</f>
        <v>1420.3700000000001</v>
      </c>
      <c r="O202">
        <v>1244.97</v>
      </c>
      <c r="P202">
        <v>121.93</v>
      </c>
      <c r="Q202">
        <v>53.47</v>
      </c>
      <c r="R202">
        <v>0</v>
      </c>
      <c r="S202">
        <v>117.74</v>
      </c>
      <c r="T202">
        <f>22.25+22.7+0.91</f>
        <v>45.86</v>
      </c>
      <c r="U202">
        <f>33.88+28.36+0.09</f>
        <v>62.330000000000005</v>
      </c>
      <c r="W202">
        <v>12.71</v>
      </c>
      <c r="X202">
        <v>101.87</v>
      </c>
      <c r="Y202">
        <f>SUM(Z202:AC202)</f>
        <v>3418.23</v>
      </c>
      <c r="Z202">
        <v>100.58</v>
      </c>
      <c r="AA202">
        <v>3292.36</v>
      </c>
      <c r="AB202">
        <v>23.11</v>
      </c>
      <c r="AC202">
        <v>2.1800000000000002</v>
      </c>
      <c r="AD202">
        <v>30.8</v>
      </c>
      <c r="AH202">
        <f>SUM(AI202:AK202)</f>
        <v>923.96</v>
      </c>
      <c r="AI202">
        <v>23.47</v>
      </c>
      <c r="AK202">
        <v>900.49</v>
      </c>
      <c r="AM202">
        <f>1024.94+29.25+276.46</f>
        <v>1330.65</v>
      </c>
    </row>
    <row r="203" spans="1:39" x14ac:dyDescent="0.3">
      <c r="M203" s="19">
        <f>SUM(N203,S203,T203,U203,Y203,AD203,AH203,AL203,AM203,X203,W203)</f>
        <v>0.99999866033092522</v>
      </c>
      <c r="N203" s="5">
        <f>N202/$L202</f>
        <v>0.19028257639797819</v>
      </c>
      <c r="O203" s="5">
        <f t="shared" ref="O203:AM203" si="66">O202/$L202</f>
        <v>0.166784780823441</v>
      </c>
      <c r="P203" s="5">
        <f t="shared" si="66"/>
        <v>1.6334585030805693E-2</v>
      </c>
      <c r="Q203" s="5">
        <f t="shared" si="66"/>
        <v>7.1632105437314875E-3</v>
      </c>
      <c r="R203" s="5">
        <f t="shared" si="66"/>
        <v>0</v>
      </c>
      <c r="S203" s="5">
        <f t="shared" si="66"/>
        <v>1.5773263688403691E-2</v>
      </c>
      <c r="T203" s="5">
        <f t="shared" si="66"/>
        <v>6.1437223776982615E-3</v>
      </c>
      <c r="U203" s="5">
        <f t="shared" si="66"/>
        <v>8.3501573441328528E-3</v>
      </c>
      <c r="V203" s="5">
        <f t="shared" si="66"/>
        <v>0</v>
      </c>
      <c r="W203" s="5">
        <f t="shared" si="66"/>
        <v>1.7027193942552312E-3</v>
      </c>
      <c r="X203" s="5">
        <f t="shared" si="66"/>
        <v>1.3647208866465806E-2</v>
      </c>
      <c r="Y203" s="5">
        <f>Y202/$L202</f>
        <v>0.45792970220496138</v>
      </c>
      <c r="Z203" s="5">
        <f>Z202/$L202</f>
        <v>1.3474391555797887E-2</v>
      </c>
      <c r="AA203" s="5">
        <f>AA202/$L202</f>
        <v>0.44106728755862729</v>
      </c>
      <c r="AB203" s="5">
        <f>AB202/$L202</f>
        <v>3.0959752321981426E-3</v>
      </c>
      <c r="AC203" s="5">
        <f t="shared" si="66"/>
        <v>2.9204785833803338E-4</v>
      </c>
      <c r="AD203" s="5">
        <f t="shared" si="66"/>
        <v>4.1261807508309297E-3</v>
      </c>
      <c r="AE203" s="5">
        <f t="shared" si="66"/>
        <v>0</v>
      </c>
      <c r="AF203" s="5">
        <f t="shared" si="66"/>
        <v>0</v>
      </c>
      <c r="AG203" s="5">
        <f t="shared" si="66"/>
        <v>0</v>
      </c>
      <c r="AH203" s="5">
        <f t="shared" si="66"/>
        <v>0.12378006384862812</v>
      </c>
      <c r="AI203" s="5">
        <f t="shared" si="66"/>
        <v>3.1442033188961663E-3</v>
      </c>
      <c r="AJ203" s="5">
        <f t="shared" si="66"/>
        <v>0</v>
      </c>
      <c r="AK203" s="5">
        <f t="shared" si="66"/>
        <v>0.12063586052973195</v>
      </c>
      <c r="AL203" s="5">
        <f t="shared" si="66"/>
        <v>0</v>
      </c>
      <c r="AM203" s="5">
        <f t="shared" si="66"/>
        <v>0.1782630654575707</v>
      </c>
    </row>
    <row r="205" spans="1:39" x14ac:dyDescent="0.3">
      <c r="A205" t="s">
        <v>173</v>
      </c>
      <c r="L205">
        <v>6104.31</v>
      </c>
      <c r="M205" s="30">
        <f>SUM(N205,S205,T205,U205,Y205,AD205,AH205,AL205,AM205,X205,W205)</f>
        <v>6104.3300000000008</v>
      </c>
      <c r="N205">
        <v>2083.0500000000002</v>
      </c>
      <c r="U205">
        <f>88.99+37.43</f>
        <v>126.41999999999999</v>
      </c>
      <c r="W205">
        <v>55.52</v>
      </c>
      <c r="X205">
        <v>527.09</v>
      </c>
      <c r="Y205">
        <f>SUM(Z205:AC205)</f>
        <v>2402.3500000000004</v>
      </c>
      <c r="Z205">
        <v>179.01</v>
      </c>
      <c r="AA205">
        <v>2223.34</v>
      </c>
      <c r="AD205">
        <v>0</v>
      </c>
      <c r="AH205">
        <v>17.190000000000001</v>
      </c>
      <c r="AM205">
        <f>735.03+157.68</f>
        <v>892.71</v>
      </c>
    </row>
    <row r="206" spans="1:39" x14ac:dyDescent="0.3">
      <c r="M206" s="19">
        <f>SUM(N206,S206,T206,U206,Y206,AD206,AH206,AL206,AM206,X206,W206)</f>
        <v>1.0000032763735787</v>
      </c>
      <c r="N206" s="5">
        <f>N205/$L205</f>
        <v>0.34124249915223837</v>
      </c>
      <c r="O206" s="5">
        <f t="shared" ref="O206:AM206" si="67">O205/$L205</f>
        <v>0</v>
      </c>
      <c r="P206" s="5">
        <f t="shared" si="67"/>
        <v>0</v>
      </c>
      <c r="Q206" s="5">
        <f t="shared" si="67"/>
        <v>0</v>
      </c>
      <c r="R206" s="5">
        <f t="shared" si="67"/>
        <v>0</v>
      </c>
      <c r="S206" s="5">
        <f t="shared" si="67"/>
        <v>0</v>
      </c>
      <c r="T206" s="5">
        <f t="shared" si="67"/>
        <v>0</v>
      </c>
      <c r="U206" s="5">
        <f t="shared" si="67"/>
        <v>2.0709957390761605E-2</v>
      </c>
      <c r="V206" s="5">
        <f t="shared" si="67"/>
        <v>0</v>
      </c>
      <c r="W206" s="5">
        <f t="shared" si="67"/>
        <v>9.0952130543828866E-3</v>
      </c>
      <c r="X206" s="5">
        <f t="shared" si="67"/>
        <v>8.6347187479010726E-2</v>
      </c>
      <c r="Y206" s="5">
        <f>Y205/$L205</f>
        <v>0.39354980333567596</v>
      </c>
      <c r="Z206" s="5">
        <f>Z205/$L205</f>
        <v>2.9325181715869602E-2</v>
      </c>
      <c r="AA206" s="5">
        <f>AA205/$L205</f>
        <v>0.36422462161980634</v>
      </c>
      <c r="AB206" s="5">
        <f t="shared" si="67"/>
        <v>0</v>
      </c>
      <c r="AC206" s="5">
        <f t="shared" si="67"/>
        <v>0</v>
      </c>
      <c r="AD206" s="5">
        <f t="shared" si="67"/>
        <v>0</v>
      </c>
      <c r="AE206" s="5">
        <f t="shared" si="67"/>
        <v>0</v>
      </c>
      <c r="AF206" s="5">
        <f t="shared" si="67"/>
        <v>0</v>
      </c>
      <c r="AG206" s="5">
        <f t="shared" si="67"/>
        <v>0</v>
      </c>
      <c r="AH206" s="5">
        <f t="shared" si="67"/>
        <v>2.8160430908653069E-3</v>
      </c>
      <c r="AI206" s="5">
        <f t="shared" si="67"/>
        <v>0</v>
      </c>
      <c r="AJ206" s="5">
        <f t="shared" si="67"/>
        <v>0</v>
      </c>
      <c r="AK206" s="5">
        <f t="shared" si="67"/>
        <v>0</v>
      </c>
      <c r="AL206" s="5">
        <f t="shared" si="67"/>
        <v>0</v>
      </c>
      <c r="AM206" s="5">
        <f t="shared" si="67"/>
        <v>0.14624257287064385</v>
      </c>
    </row>
    <row r="207" spans="1:39" x14ac:dyDescent="0.3">
      <c r="L207">
        <v>6104.31</v>
      </c>
      <c r="M207" s="30">
        <f>SUM(N207,S207,T207,U207,Y207,AD207,AH207,AL207,AM207,X207,W207)</f>
        <v>6104.3099999999995</v>
      </c>
      <c r="N207">
        <v>2084.1</v>
      </c>
      <c r="U207">
        <f>1258.83+44.43</f>
        <v>1303.26</v>
      </c>
      <c r="W207">
        <v>55.52</v>
      </c>
      <c r="X207">
        <v>623.80999999999995</v>
      </c>
      <c r="Y207">
        <f>SUM(Z207:AC207)</f>
        <v>1127.72</v>
      </c>
      <c r="Z207">
        <v>179.01</v>
      </c>
      <c r="AA207">
        <v>948.71</v>
      </c>
      <c r="AD207">
        <v>0</v>
      </c>
      <c r="AH207">
        <v>17.190000000000001</v>
      </c>
      <c r="AM207">
        <f>735.03+157.68</f>
        <v>892.71</v>
      </c>
    </row>
    <row r="208" spans="1:39" x14ac:dyDescent="0.3">
      <c r="M208" s="19">
        <f>SUM(N208,S208,T208,U208,Y208,AD208,AH208,AL208,AM208,X208,W208)</f>
        <v>0.99999999999999978</v>
      </c>
      <c r="N208" s="5">
        <f>N207/$L207</f>
        <v>0.34141450876511836</v>
      </c>
      <c r="O208" s="5">
        <f t="shared" ref="O208:AM208" si="68">O207/$L207</f>
        <v>0</v>
      </c>
      <c r="P208" s="5">
        <f t="shared" si="68"/>
        <v>0</v>
      </c>
      <c r="Q208" s="5">
        <f t="shared" si="68"/>
        <v>0</v>
      </c>
      <c r="R208" s="5">
        <f t="shared" si="68"/>
        <v>0</v>
      </c>
      <c r="S208" s="5">
        <f t="shared" si="68"/>
        <v>0</v>
      </c>
      <c r="T208" s="5">
        <f t="shared" si="68"/>
        <v>0</v>
      </c>
      <c r="U208" s="5">
        <f t="shared" si="68"/>
        <v>0.21349833150675504</v>
      </c>
      <c r="V208" s="5">
        <f t="shared" si="68"/>
        <v>0</v>
      </c>
      <c r="W208" s="5">
        <f t="shared" si="68"/>
        <v>9.0952130543828866E-3</v>
      </c>
      <c r="X208" s="5">
        <f t="shared" si="68"/>
        <v>0.10219173010545007</v>
      </c>
      <c r="Y208" s="5">
        <f>Y207/$L207</f>
        <v>0.18474160060678438</v>
      </c>
      <c r="Z208" s="5">
        <f>Z207/$L207</f>
        <v>2.9325181715869602E-2</v>
      </c>
      <c r="AA208" s="5">
        <f>AA207/$L207</f>
        <v>0.15541641889091479</v>
      </c>
      <c r="AB208" s="5">
        <f t="shared" si="68"/>
        <v>0</v>
      </c>
      <c r="AC208" s="5">
        <f t="shared" si="68"/>
        <v>0</v>
      </c>
      <c r="AD208" s="5">
        <f t="shared" si="68"/>
        <v>0</v>
      </c>
      <c r="AE208" s="5">
        <f t="shared" si="68"/>
        <v>0</v>
      </c>
      <c r="AF208" s="5">
        <f t="shared" si="68"/>
        <v>0</v>
      </c>
      <c r="AG208" s="5">
        <f t="shared" si="68"/>
        <v>0</v>
      </c>
      <c r="AH208" s="5">
        <f t="shared" si="68"/>
        <v>2.8160430908653069E-3</v>
      </c>
      <c r="AI208" s="5">
        <f t="shared" si="68"/>
        <v>0</v>
      </c>
      <c r="AJ208" s="5">
        <f t="shared" si="68"/>
        <v>0</v>
      </c>
      <c r="AK208" s="5">
        <f t="shared" si="68"/>
        <v>0</v>
      </c>
      <c r="AL208" s="5">
        <f t="shared" si="68"/>
        <v>0</v>
      </c>
      <c r="AM208" s="5">
        <f t="shared" si="68"/>
        <v>0.14624257287064385</v>
      </c>
    </row>
    <row r="210" spans="1:40" x14ac:dyDescent="0.3">
      <c r="A210" t="s">
        <v>174</v>
      </c>
      <c r="I210">
        <v>54831</v>
      </c>
      <c r="L210">
        <v>3651.5</v>
      </c>
      <c r="M210" s="30">
        <f>SUM(N210,S210,T210,U210,Y210,AD210,AH210,AL210,AM210,X210,W210)</f>
        <v>3517.5099999999998</v>
      </c>
      <c r="N210">
        <f>SUM(O210:R210)</f>
        <v>1528.98</v>
      </c>
      <c r="O210">
        <v>1145.94</v>
      </c>
      <c r="P210">
        <v>20.7</v>
      </c>
      <c r="Q210">
        <v>248.1</v>
      </c>
      <c r="R210">
        <v>114.24</v>
      </c>
      <c r="S210">
        <v>2.52</v>
      </c>
      <c r="T210">
        <f>65.07+113.39</f>
        <v>178.45999999999998</v>
      </c>
      <c r="U210">
        <f>565.5+29.93</f>
        <v>595.42999999999995</v>
      </c>
      <c r="W210">
        <v>12.78</v>
      </c>
      <c r="X210">
        <v>75.540000000000006</v>
      </c>
      <c r="Y210">
        <f>SUM(Z210:AC210)</f>
        <v>437.06</v>
      </c>
      <c r="Z210">
        <v>432.94</v>
      </c>
      <c r="AB210">
        <v>4.12</v>
      </c>
      <c r="AD210">
        <f>SUM(AE210:AG210)</f>
        <v>480.41</v>
      </c>
      <c r="AE210">
        <v>90.74</v>
      </c>
      <c r="AF210">
        <v>389.67</v>
      </c>
      <c r="AH210">
        <f>SUM(AI210:AK210)</f>
        <v>156.06</v>
      </c>
      <c r="AI210">
        <v>83.16</v>
      </c>
      <c r="AK210">
        <v>72.900000000000006</v>
      </c>
      <c r="AL210">
        <v>0.69</v>
      </c>
      <c r="AM210">
        <v>49.58</v>
      </c>
    </row>
    <row r="211" spans="1:40" x14ac:dyDescent="0.3">
      <c r="M211" s="19">
        <f>SUM(N211,S211,T211,U211,Y211,AD211,AH211,AL211,AM211,X211,W211)</f>
        <v>1</v>
      </c>
      <c r="N211" s="5">
        <f>N210/$M210</f>
        <v>0.43467680262458391</v>
      </c>
      <c r="O211" s="5">
        <f t="shared" ref="O211:AM211" si="69">O210/$M210</f>
        <v>0.32578158981779731</v>
      </c>
      <c r="P211" s="5">
        <f t="shared" si="69"/>
        <v>5.8848446770584876E-3</v>
      </c>
      <c r="Q211" s="5">
        <f t="shared" si="69"/>
        <v>7.0532848520686517E-2</v>
      </c>
      <c r="R211" s="5">
        <f t="shared" si="69"/>
        <v>3.2477519609041626E-2</v>
      </c>
      <c r="S211" s="5">
        <f t="shared" si="69"/>
        <v>7.1641587372885942E-4</v>
      </c>
      <c r="T211" s="5">
        <f t="shared" si="69"/>
        <v>5.0734752708592158E-2</v>
      </c>
      <c r="U211" s="5">
        <f t="shared" si="69"/>
        <v>0.16927599352951378</v>
      </c>
      <c r="V211" s="5">
        <f t="shared" si="69"/>
        <v>0</v>
      </c>
      <c r="W211" s="5">
        <f t="shared" si="69"/>
        <v>3.6332519310535009E-3</v>
      </c>
      <c r="X211" s="5">
        <f t="shared" si="69"/>
        <v>2.1475418691062714E-2</v>
      </c>
      <c r="Y211" s="5">
        <f t="shared" si="69"/>
        <v>0.12425266736981559</v>
      </c>
      <c r="Z211" s="5">
        <f t="shared" si="69"/>
        <v>0.12308138427467158</v>
      </c>
      <c r="AA211" s="5">
        <f t="shared" si="69"/>
        <v>0</v>
      </c>
      <c r="AB211" s="5">
        <f t="shared" si="69"/>
        <v>1.1712830951440083E-3</v>
      </c>
      <c r="AC211" s="5">
        <f t="shared" si="69"/>
        <v>0</v>
      </c>
      <c r="AD211" s="5">
        <f t="shared" si="69"/>
        <v>0.13657672615003227</v>
      </c>
      <c r="AE211" s="5">
        <f t="shared" si="69"/>
        <v>2.5796657294506625E-2</v>
      </c>
      <c r="AF211" s="5">
        <f t="shared" si="69"/>
        <v>0.11078006885552566</v>
      </c>
      <c r="AG211" s="5">
        <f t="shared" si="69"/>
        <v>0</v>
      </c>
      <c r="AH211" s="5">
        <f t="shared" si="69"/>
        <v>4.4366611608780075E-2</v>
      </c>
      <c r="AI211" s="5">
        <f t="shared" si="69"/>
        <v>2.364172383305236E-2</v>
      </c>
      <c r="AJ211" s="5">
        <f t="shared" si="69"/>
        <v>0</v>
      </c>
      <c r="AK211" s="5">
        <f t="shared" si="69"/>
        <v>2.0724887775727719E-2</v>
      </c>
      <c r="AL211" s="5">
        <f t="shared" si="69"/>
        <v>1.9616148923528291E-4</v>
      </c>
      <c r="AM211" s="5">
        <f t="shared" si="69"/>
        <v>1.4095198023601924E-2</v>
      </c>
      <c r="AN211" s="5"/>
    </row>
  </sheetData>
  <sortState xmlns:xlrd2="http://schemas.microsoft.com/office/spreadsheetml/2017/richdata2" ref="A3:H48">
    <sortCondition descending="1" ref="H1:H48"/>
  </sortState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6004-5818-4C41-ADF4-DE8D15EBD966}">
  <dimension ref="A1:AM223"/>
  <sheetViews>
    <sheetView topLeftCell="A16" zoomScale="70" zoomScaleNormal="70" workbookViewId="0">
      <pane xSplit="1" topLeftCell="K1" activePane="topRight" state="frozen"/>
      <selection pane="topRight" activeCell="P222" sqref="P222"/>
    </sheetView>
  </sheetViews>
  <sheetFormatPr defaultRowHeight="16.5" x14ac:dyDescent="0.3"/>
  <cols>
    <col min="1" max="1" width="22.625" customWidth="1"/>
    <col min="2" max="21" width="12.75" customWidth="1"/>
    <col min="22" max="25" width="16.75" customWidth="1"/>
  </cols>
  <sheetData>
    <row r="1" spans="1:31" x14ac:dyDescent="0.3">
      <c r="B1" s="47" t="s">
        <v>62</v>
      </c>
      <c r="C1" s="47"/>
      <c r="D1" s="47"/>
      <c r="E1" s="47"/>
    </row>
    <row r="2" spans="1:31" x14ac:dyDescent="0.3">
      <c r="B2" t="s">
        <v>58</v>
      </c>
      <c r="C2" t="s">
        <v>59</v>
      </c>
      <c r="D2" t="s">
        <v>60</v>
      </c>
      <c r="E2" t="s">
        <v>61</v>
      </c>
      <c r="F2" s="47" t="s">
        <v>10</v>
      </c>
      <c r="G2" s="47"/>
      <c r="H2" s="47"/>
      <c r="I2" s="47" t="s">
        <v>0</v>
      </c>
      <c r="J2" s="47"/>
      <c r="K2" s="47" t="s">
        <v>1</v>
      </c>
      <c r="L2" s="47"/>
      <c r="M2" s="47"/>
      <c r="N2" s="47" t="s">
        <v>2</v>
      </c>
      <c r="O2" s="47"/>
      <c r="P2" s="47" t="s">
        <v>68</v>
      </c>
      <c r="Q2" s="47"/>
      <c r="R2" s="47" t="s">
        <v>122</v>
      </c>
      <c r="S2" s="47"/>
      <c r="U2" t="s">
        <v>68</v>
      </c>
      <c r="X2" t="s">
        <v>10</v>
      </c>
      <c r="Y2" t="s">
        <v>0</v>
      </c>
      <c r="Z2" t="s">
        <v>1</v>
      </c>
      <c r="AA2" t="s">
        <v>2</v>
      </c>
      <c r="AB2" t="s">
        <v>78</v>
      </c>
      <c r="AD2" t="s">
        <v>329</v>
      </c>
    </row>
    <row r="3" spans="1:31" x14ac:dyDescent="0.3">
      <c r="F3" t="s">
        <v>63</v>
      </c>
      <c r="G3" t="s">
        <v>64</v>
      </c>
      <c r="H3" t="s">
        <v>65</v>
      </c>
      <c r="I3" t="s">
        <v>66</v>
      </c>
      <c r="J3" t="s">
        <v>67</v>
      </c>
      <c r="K3" t="s">
        <v>82</v>
      </c>
      <c r="L3" t="s">
        <v>83</v>
      </c>
      <c r="M3" t="s">
        <v>81</v>
      </c>
      <c r="R3" t="s">
        <v>124</v>
      </c>
      <c r="S3" t="s">
        <v>125</v>
      </c>
    </row>
    <row r="4" spans="1:31" x14ac:dyDescent="0.3">
      <c r="A4" s="2" t="s">
        <v>56</v>
      </c>
      <c r="I4">
        <v>10976</v>
      </c>
      <c r="J4">
        <v>104610</v>
      </c>
    </row>
    <row r="5" spans="1:31" x14ac:dyDescent="0.3">
      <c r="A5" s="2" t="s">
        <v>36</v>
      </c>
      <c r="I5">
        <v>1981.13</v>
      </c>
      <c r="J5">
        <v>1981.13</v>
      </c>
    </row>
    <row r="6" spans="1:31" x14ac:dyDescent="0.3">
      <c r="A6" s="2" t="s">
        <v>57</v>
      </c>
    </row>
    <row r="7" spans="1:31" x14ac:dyDescent="0.3">
      <c r="A7" s="21" t="s">
        <v>186</v>
      </c>
      <c r="B7">
        <v>15</v>
      </c>
      <c r="C7">
        <v>20</v>
      </c>
      <c r="D7">
        <v>25</v>
      </c>
      <c r="E7">
        <v>30</v>
      </c>
      <c r="F7">
        <v>29</v>
      </c>
      <c r="G7">
        <v>30</v>
      </c>
      <c r="H7">
        <v>29</v>
      </c>
      <c r="I7">
        <v>13</v>
      </c>
      <c r="J7">
        <v>12</v>
      </c>
      <c r="K7">
        <v>0.8</v>
      </c>
      <c r="L7">
        <v>2.6</v>
      </c>
      <c r="M7">
        <v>6.1</v>
      </c>
      <c r="N7">
        <v>1</v>
      </c>
      <c r="O7">
        <v>10</v>
      </c>
      <c r="P7">
        <v>3</v>
      </c>
      <c r="Q7">
        <v>4</v>
      </c>
      <c r="R7">
        <v>1</v>
      </c>
      <c r="S7">
        <v>3</v>
      </c>
      <c r="U7" s="33">
        <v>1.59</v>
      </c>
      <c r="V7" s="33">
        <v>2.86</v>
      </c>
      <c r="X7">
        <f>G7-H7</f>
        <v>1</v>
      </c>
      <c r="Y7">
        <f>J7-K7</f>
        <v>11.2</v>
      </c>
      <c r="Z7">
        <f t="shared" ref="Z7:Z15" si="0">M7-K7</f>
        <v>5.3</v>
      </c>
      <c r="AA7">
        <f t="shared" ref="AA7:AA15" si="1">O7-N7</f>
        <v>9</v>
      </c>
      <c r="AB7">
        <f t="shared" ref="AB7:AB15" si="2">Q7-P7</f>
        <v>1</v>
      </c>
      <c r="AD7" s="33">
        <f>(5398.31)*100/AD$16</f>
        <v>36.642931809234192</v>
      </c>
      <c r="AE7" s="33">
        <f>(5486.52)*100/AE$16</f>
        <v>37.241688274663659</v>
      </c>
    </row>
    <row r="8" spans="1:31" x14ac:dyDescent="0.3">
      <c r="A8" s="22" t="s">
        <v>185</v>
      </c>
      <c r="B8">
        <v>6</v>
      </c>
      <c r="C8">
        <v>10</v>
      </c>
      <c r="D8">
        <v>15</v>
      </c>
      <c r="E8">
        <v>20</v>
      </c>
      <c r="F8">
        <v>20</v>
      </c>
      <c r="G8">
        <v>27</v>
      </c>
      <c r="H8">
        <v>23</v>
      </c>
      <c r="I8">
        <v>8</v>
      </c>
      <c r="J8">
        <v>29</v>
      </c>
      <c r="K8">
        <v>29.3</v>
      </c>
      <c r="L8">
        <v>38.4</v>
      </c>
      <c r="M8">
        <v>54.2</v>
      </c>
      <c r="N8">
        <v>7</v>
      </c>
      <c r="O8">
        <v>12</v>
      </c>
      <c r="P8">
        <v>18</v>
      </c>
      <c r="Q8">
        <v>21</v>
      </c>
      <c r="R8">
        <v>5</v>
      </c>
      <c r="S8">
        <v>20</v>
      </c>
      <c r="U8" s="33">
        <v>5.75</v>
      </c>
      <c r="V8" s="33">
        <v>18.04</v>
      </c>
      <c r="X8">
        <f t="shared" ref="X8:X15" si="3">G8-H8</f>
        <v>4</v>
      </c>
      <c r="Y8">
        <f t="shared" ref="Y8:Y15" si="4">J8-K8</f>
        <v>-0.30000000000000071</v>
      </c>
      <c r="Z8">
        <f t="shared" si="0"/>
        <v>24.900000000000002</v>
      </c>
      <c r="AA8">
        <f t="shared" si="1"/>
        <v>5</v>
      </c>
      <c r="AB8">
        <f t="shared" si="2"/>
        <v>3</v>
      </c>
      <c r="AD8" s="33">
        <f>(836.48)*100/AD$16</f>
        <v>5.6779028251041934</v>
      </c>
      <c r="AE8" s="33">
        <f>(1058.54)*100/AE$16</f>
        <v>7.1852133422027933</v>
      </c>
    </row>
    <row r="9" spans="1:31" x14ac:dyDescent="0.3">
      <c r="A9" s="2" t="s">
        <v>324</v>
      </c>
      <c r="B9">
        <v>4</v>
      </c>
      <c r="C9">
        <v>8</v>
      </c>
      <c r="D9">
        <v>14</v>
      </c>
      <c r="E9">
        <v>20</v>
      </c>
      <c r="F9">
        <v>16</v>
      </c>
      <c r="G9">
        <v>12</v>
      </c>
      <c r="H9">
        <v>12</v>
      </c>
      <c r="I9">
        <v>8</v>
      </c>
      <c r="J9">
        <v>23</v>
      </c>
      <c r="K9">
        <v>3.3</v>
      </c>
      <c r="L9">
        <v>9.6999999999999993</v>
      </c>
      <c r="M9">
        <v>10.3</v>
      </c>
      <c r="N9">
        <v>3</v>
      </c>
      <c r="O9">
        <v>4</v>
      </c>
      <c r="P9">
        <v>10</v>
      </c>
      <c r="Q9">
        <v>15</v>
      </c>
      <c r="R9">
        <v>1</v>
      </c>
      <c r="S9">
        <v>2</v>
      </c>
      <c r="U9" s="33">
        <v>8.6300000000000008</v>
      </c>
      <c r="V9" s="33">
        <v>12.05</v>
      </c>
      <c r="X9">
        <f t="shared" si="3"/>
        <v>0</v>
      </c>
      <c r="Y9">
        <f t="shared" si="4"/>
        <v>19.7</v>
      </c>
      <c r="Z9">
        <f t="shared" si="0"/>
        <v>7.0000000000000009</v>
      </c>
      <c r="AA9">
        <f t="shared" si="1"/>
        <v>1</v>
      </c>
      <c r="AB9">
        <f t="shared" si="2"/>
        <v>5</v>
      </c>
      <c r="AD9" s="33">
        <f>(18.23+36.17)*100/AD$16</f>
        <v>0.3692591737825987</v>
      </c>
      <c r="AE9" s="33">
        <f>(18.44+36.17)*100/AE$16</f>
        <v>0.3706846227990388</v>
      </c>
    </row>
    <row r="10" spans="1:31" x14ac:dyDescent="0.3">
      <c r="A10" s="21" t="s">
        <v>325</v>
      </c>
      <c r="B10">
        <v>3</v>
      </c>
      <c r="C10">
        <v>4</v>
      </c>
      <c r="D10">
        <v>7</v>
      </c>
      <c r="E10">
        <v>10</v>
      </c>
      <c r="F10">
        <v>8</v>
      </c>
      <c r="G10">
        <v>8</v>
      </c>
      <c r="H10">
        <v>7</v>
      </c>
      <c r="I10">
        <v>0</v>
      </c>
      <c r="J10">
        <v>15</v>
      </c>
      <c r="K10">
        <v>22.2</v>
      </c>
      <c r="L10">
        <v>20.7</v>
      </c>
      <c r="M10">
        <v>32.1</v>
      </c>
      <c r="N10">
        <v>3</v>
      </c>
      <c r="O10">
        <v>7</v>
      </c>
      <c r="P10">
        <v>11</v>
      </c>
      <c r="Q10">
        <v>12</v>
      </c>
      <c r="R10">
        <v>0</v>
      </c>
      <c r="S10">
        <v>3</v>
      </c>
      <c r="U10" s="33">
        <v>5.29</v>
      </c>
      <c r="V10" s="33">
        <v>11.43</v>
      </c>
      <c r="X10">
        <f t="shared" si="3"/>
        <v>1</v>
      </c>
      <c r="Y10">
        <f t="shared" si="4"/>
        <v>-7.1999999999999993</v>
      </c>
      <c r="Z10">
        <f t="shared" si="0"/>
        <v>9.9000000000000021</v>
      </c>
      <c r="AA10">
        <f t="shared" si="1"/>
        <v>4</v>
      </c>
      <c r="AB10">
        <f t="shared" si="2"/>
        <v>1</v>
      </c>
      <c r="AD10" s="33">
        <f>(14.56)*100/AD$16</f>
        <v>9.8831131806519049E-2</v>
      </c>
      <c r="AE10" s="33">
        <f>(42.58)*100/AE$16</f>
        <v>0.28902675771439429</v>
      </c>
    </row>
    <row r="11" spans="1:31" x14ac:dyDescent="0.3">
      <c r="A11" s="21" t="s">
        <v>326</v>
      </c>
      <c r="B11">
        <v>2</v>
      </c>
      <c r="C11">
        <v>3</v>
      </c>
      <c r="D11">
        <v>4</v>
      </c>
      <c r="E11">
        <v>5</v>
      </c>
      <c r="F11">
        <v>2</v>
      </c>
      <c r="G11">
        <v>2</v>
      </c>
      <c r="H11">
        <v>2</v>
      </c>
      <c r="I11">
        <v>1</v>
      </c>
      <c r="J11">
        <v>1</v>
      </c>
      <c r="K11">
        <v>1.3</v>
      </c>
      <c r="L11">
        <v>1</v>
      </c>
      <c r="M11">
        <v>1</v>
      </c>
      <c r="N11">
        <v>0</v>
      </c>
      <c r="O11">
        <v>5</v>
      </c>
      <c r="P11">
        <v>2</v>
      </c>
      <c r="Q11">
        <v>2</v>
      </c>
      <c r="R11">
        <v>0</v>
      </c>
      <c r="S11">
        <v>1</v>
      </c>
      <c r="U11" s="33">
        <v>13.06</v>
      </c>
      <c r="V11" s="33">
        <v>16.95</v>
      </c>
      <c r="X11">
        <f t="shared" si="3"/>
        <v>0</v>
      </c>
      <c r="Y11">
        <f t="shared" si="4"/>
        <v>-0.30000000000000004</v>
      </c>
      <c r="Z11">
        <f t="shared" si="0"/>
        <v>-0.30000000000000004</v>
      </c>
      <c r="AA11">
        <f t="shared" si="1"/>
        <v>5</v>
      </c>
      <c r="AB11">
        <f t="shared" si="2"/>
        <v>0</v>
      </c>
      <c r="AD11" s="33">
        <f>(34.21+6.72)*100/AD$16</f>
        <v>0.27782680115665004</v>
      </c>
      <c r="AE11" s="33">
        <f>(204.1+77.23)*100/AE$16</f>
        <v>1.9096265323576926</v>
      </c>
    </row>
    <row r="12" spans="1:31" x14ac:dyDescent="0.3">
      <c r="A12" s="21" t="s">
        <v>327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11</v>
      </c>
      <c r="H12">
        <v>11</v>
      </c>
      <c r="I12">
        <v>3</v>
      </c>
      <c r="J12">
        <v>13</v>
      </c>
      <c r="K12">
        <v>5.4</v>
      </c>
      <c r="L12">
        <v>6.8</v>
      </c>
      <c r="M12">
        <v>28.3</v>
      </c>
      <c r="N12">
        <v>48</v>
      </c>
      <c r="O12">
        <v>52</v>
      </c>
      <c r="P12">
        <v>20</v>
      </c>
      <c r="Q12">
        <v>19</v>
      </c>
      <c r="R12">
        <v>5</v>
      </c>
      <c r="S12">
        <v>7</v>
      </c>
      <c r="U12" s="33">
        <f>100-U7-U8-U10-U9-U13-U11</f>
        <v>47.419999999999987</v>
      </c>
      <c r="V12" s="33">
        <f t="shared" ref="V12" si="5">100-V7-V8-V10-V9-V13-V11</f>
        <v>20.419999999999991</v>
      </c>
      <c r="X12">
        <f t="shared" si="3"/>
        <v>0</v>
      </c>
      <c r="Y12">
        <f t="shared" si="4"/>
        <v>7.6</v>
      </c>
      <c r="Z12">
        <f t="shared" si="0"/>
        <v>22.9</v>
      </c>
      <c r="AA12">
        <f t="shared" si="1"/>
        <v>4</v>
      </c>
      <c r="AB12">
        <f t="shared" si="2"/>
        <v>-1</v>
      </c>
      <c r="AD12" s="33">
        <f t="shared" ref="AD12:AE12" si="6">100-AD7-AD8-AD9-AD10-AD13-AD11</f>
        <v>7.6722417561531913</v>
      </c>
      <c r="AE12" s="33">
        <f t="shared" si="6"/>
        <v>5.5312852119846374</v>
      </c>
    </row>
    <row r="13" spans="1:31" x14ac:dyDescent="0.3">
      <c r="A13" s="21" t="s">
        <v>328</v>
      </c>
      <c r="B13">
        <v>20</v>
      </c>
      <c r="C13">
        <v>18</v>
      </c>
      <c r="D13">
        <v>11</v>
      </c>
      <c r="E13">
        <v>3</v>
      </c>
      <c r="F13">
        <v>4</v>
      </c>
      <c r="G13">
        <v>4</v>
      </c>
      <c r="H13">
        <v>4</v>
      </c>
      <c r="I13">
        <v>27</v>
      </c>
      <c r="J13">
        <v>4</v>
      </c>
      <c r="K13">
        <v>18.899999999999999</v>
      </c>
      <c r="L13">
        <v>17.3</v>
      </c>
      <c r="M13">
        <v>16.899999999999999</v>
      </c>
      <c r="N13">
        <v>2</v>
      </c>
      <c r="O13">
        <v>1</v>
      </c>
      <c r="P13">
        <v>17</v>
      </c>
      <c r="Q13">
        <v>8</v>
      </c>
      <c r="R13">
        <v>36</v>
      </c>
      <c r="S13">
        <v>11</v>
      </c>
      <c r="U13" s="33">
        <v>18.260000000000002</v>
      </c>
      <c r="V13" s="33">
        <v>18.25</v>
      </c>
      <c r="X13">
        <f t="shared" si="3"/>
        <v>0</v>
      </c>
      <c r="Y13">
        <f t="shared" si="4"/>
        <v>-14.899999999999999</v>
      </c>
      <c r="Z13">
        <f t="shared" si="0"/>
        <v>-2</v>
      </c>
      <c r="AA13">
        <f t="shared" si="1"/>
        <v>-1</v>
      </c>
      <c r="AB13">
        <f t="shared" si="2"/>
        <v>-9</v>
      </c>
      <c r="AD13" s="33">
        <f>(7257.23)*100/AD$16</f>
        <v>49.261006502762655</v>
      </c>
      <c r="AE13" s="33">
        <f>(6993.74)*100/AE$16</f>
        <v>47.472475258277782</v>
      </c>
    </row>
    <row r="14" spans="1:31" x14ac:dyDescent="0.3">
      <c r="A14" s="21" t="s">
        <v>74</v>
      </c>
      <c r="B14">
        <v>20</v>
      </c>
      <c r="C14">
        <v>15</v>
      </c>
      <c r="D14">
        <v>9</v>
      </c>
      <c r="E14">
        <v>2</v>
      </c>
      <c r="F14">
        <v>5</v>
      </c>
      <c r="G14">
        <v>3</v>
      </c>
      <c r="H14">
        <v>4</v>
      </c>
      <c r="I14">
        <v>3</v>
      </c>
      <c r="J14">
        <v>0</v>
      </c>
      <c r="K14">
        <v>11.1</v>
      </c>
      <c r="L14">
        <v>7.6</v>
      </c>
      <c r="M14">
        <v>11.4</v>
      </c>
      <c r="N14">
        <v>36</v>
      </c>
      <c r="O14">
        <v>9</v>
      </c>
      <c r="P14">
        <v>19</v>
      </c>
      <c r="Q14">
        <v>19</v>
      </c>
      <c r="R14">
        <v>0</v>
      </c>
      <c r="S14">
        <v>1</v>
      </c>
      <c r="X14">
        <f t="shared" si="3"/>
        <v>-1</v>
      </c>
      <c r="Y14">
        <f t="shared" si="4"/>
        <v>-11.1</v>
      </c>
      <c r="Z14">
        <f t="shared" si="0"/>
        <v>0.30000000000000071</v>
      </c>
      <c r="AA14">
        <f t="shared" si="1"/>
        <v>-27</v>
      </c>
      <c r="AB14">
        <f t="shared" si="2"/>
        <v>0</v>
      </c>
    </row>
    <row r="15" spans="1:31" x14ac:dyDescent="0.3">
      <c r="A15" s="22" t="s">
        <v>75</v>
      </c>
      <c r="B15">
        <v>20</v>
      </c>
      <c r="C15">
        <v>12</v>
      </c>
      <c r="D15">
        <v>5</v>
      </c>
      <c r="E15">
        <v>0</v>
      </c>
      <c r="F15">
        <v>6</v>
      </c>
      <c r="G15">
        <v>3</v>
      </c>
      <c r="H15">
        <v>8</v>
      </c>
      <c r="I15">
        <v>37</v>
      </c>
      <c r="J15">
        <v>3</v>
      </c>
      <c r="K15">
        <v>47.8</v>
      </c>
      <c r="L15">
        <v>32</v>
      </c>
      <c r="M15">
        <v>24.4</v>
      </c>
      <c r="N15">
        <v>0</v>
      </c>
      <c r="O15">
        <v>0</v>
      </c>
      <c r="P15">
        <v>0</v>
      </c>
      <c r="Q15">
        <v>0</v>
      </c>
      <c r="R15">
        <v>52</v>
      </c>
      <c r="S15">
        <v>52</v>
      </c>
      <c r="U15" s="24" t="s">
        <v>84</v>
      </c>
      <c r="X15">
        <f t="shared" si="3"/>
        <v>-5</v>
      </c>
      <c r="Y15">
        <f t="shared" si="4"/>
        <v>-44.8</v>
      </c>
      <c r="Z15">
        <f t="shared" si="0"/>
        <v>-23.4</v>
      </c>
      <c r="AA15">
        <f t="shared" si="1"/>
        <v>0</v>
      </c>
      <c r="AB15">
        <f t="shared" si="2"/>
        <v>0</v>
      </c>
    </row>
    <row r="16" spans="1:31" x14ac:dyDescent="0.3">
      <c r="B16" s="23">
        <f t="shared" ref="B16:K16" si="7">B15+B14+B9</f>
        <v>44</v>
      </c>
      <c r="C16" s="23">
        <f t="shared" si="7"/>
        <v>35</v>
      </c>
      <c r="D16" s="23">
        <f t="shared" si="7"/>
        <v>28</v>
      </c>
      <c r="E16" s="23">
        <f t="shared" si="7"/>
        <v>22</v>
      </c>
      <c r="F16" s="23">
        <f t="shared" si="7"/>
        <v>27</v>
      </c>
      <c r="G16" s="23">
        <f t="shared" si="7"/>
        <v>18</v>
      </c>
      <c r="H16" s="23">
        <f t="shared" si="7"/>
        <v>24</v>
      </c>
      <c r="I16" s="23">
        <f t="shared" si="7"/>
        <v>48</v>
      </c>
      <c r="J16" s="23">
        <f t="shared" si="7"/>
        <v>26</v>
      </c>
      <c r="K16" s="23">
        <f t="shared" si="7"/>
        <v>62.199999999999996</v>
      </c>
      <c r="M16" s="23">
        <f>M15+M14+M9</f>
        <v>46.099999999999994</v>
      </c>
      <c r="N16" s="23">
        <f>N15+N14+N9</f>
        <v>39</v>
      </c>
      <c r="O16" s="23">
        <f>O15+O14+O9</f>
        <v>13</v>
      </c>
      <c r="P16" s="23">
        <f>P15+P14+P9</f>
        <v>29</v>
      </c>
      <c r="Q16" s="23">
        <f>Q15+Q14+Q9</f>
        <v>34</v>
      </c>
      <c r="AD16">
        <v>14732.2</v>
      </c>
      <c r="AE16">
        <v>14732.2</v>
      </c>
    </row>
    <row r="17" spans="2:19" x14ac:dyDescent="0.3">
      <c r="B17">
        <f>SUM(B7:B15)</f>
        <v>100</v>
      </c>
      <c r="C17">
        <f t="shared" ref="C17:H17" si="8">SUM(C7:C15)</f>
        <v>100</v>
      </c>
      <c r="D17">
        <f t="shared" si="8"/>
        <v>100</v>
      </c>
      <c r="E17">
        <f t="shared" si="8"/>
        <v>100</v>
      </c>
      <c r="F17">
        <f t="shared" si="8"/>
        <v>100</v>
      </c>
      <c r="G17">
        <f t="shared" si="8"/>
        <v>100</v>
      </c>
      <c r="H17">
        <f t="shared" si="8"/>
        <v>100</v>
      </c>
      <c r="I17">
        <f>SUM(I7:I15)</f>
        <v>100</v>
      </c>
      <c r="J17">
        <f>SUM(J7:J15)</f>
        <v>100</v>
      </c>
      <c r="K17">
        <f>SUM(K7:K15)</f>
        <v>140.09999999999997</v>
      </c>
      <c r="M17">
        <f t="shared" ref="M17:S17" si="9">SUM(M7:M15)</f>
        <v>184.70000000000005</v>
      </c>
      <c r="N17">
        <f t="shared" si="9"/>
        <v>100</v>
      </c>
      <c r="O17">
        <f t="shared" si="9"/>
        <v>100</v>
      </c>
      <c r="P17">
        <f t="shared" si="9"/>
        <v>100</v>
      </c>
      <c r="Q17">
        <f t="shared" si="9"/>
        <v>100</v>
      </c>
      <c r="R17">
        <f t="shared" si="9"/>
        <v>100</v>
      </c>
      <c r="S17">
        <f t="shared" si="9"/>
        <v>100</v>
      </c>
    </row>
    <row r="51" spans="1:5" x14ac:dyDescent="0.3">
      <c r="B51" t="s">
        <v>58</v>
      </c>
      <c r="C51" t="s">
        <v>59</v>
      </c>
      <c r="D51" t="s">
        <v>60</v>
      </c>
      <c r="E51" t="s">
        <v>61</v>
      </c>
    </row>
    <row r="52" spans="1:5" x14ac:dyDescent="0.3">
      <c r="A52" s="21" t="s">
        <v>69</v>
      </c>
      <c r="B52">
        <v>15</v>
      </c>
      <c r="C52">
        <v>20</v>
      </c>
      <c r="D52">
        <v>25</v>
      </c>
      <c r="E52">
        <v>30</v>
      </c>
    </row>
    <row r="53" spans="1:5" x14ac:dyDescent="0.3">
      <c r="A53" s="22" t="s">
        <v>70</v>
      </c>
      <c r="B53">
        <v>6</v>
      </c>
      <c r="C53">
        <v>10</v>
      </c>
      <c r="D53">
        <v>15</v>
      </c>
      <c r="E53">
        <v>20</v>
      </c>
    </row>
    <row r="54" spans="1:5" x14ac:dyDescent="0.3">
      <c r="A54" s="21" t="s">
        <v>71</v>
      </c>
      <c r="B54">
        <v>4</v>
      </c>
      <c r="C54">
        <v>8</v>
      </c>
      <c r="D54">
        <v>14</v>
      </c>
      <c r="E54">
        <v>20</v>
      </c>
    </row>
    <row r="55" spans="1:5" x14ac:dyDescent="0.3">
      <c r="A55" s="22" t="s">
        <v>72</v>
      </c>
      <c r="B55">
        <v>3</v>
      </c>
      <c r="C55">
        <v>4</v>
      </c>
      <c r="D55">
        <v>7</v>
      </c>
      <c r="E55">
        <v>10</v>
      </c>
    </row>
    <row r="56" spans="1:5" x14ac:dyDescent="0.3">
      <c r="A56" s="21" t="s">
        <v>77</v>
      </c>
      <c r="B56">
        <v>2</v>
      </c>
      <c r="C56">
        <v>3</v>
      </c>
      <c r="D56">
        <v>4</v>
      </c>
      <c r="E56">
        <v>5</v>
      </c>
    </row>
    <row r="57" spans="1:5" x14ac:dyDescent="0.3">
      <c r="A57" s="21" t="s">
        <v>76</v>
      </c>
      <c r="B57">
        <v>10</v>
      </c>
      <c r="C57">
        <v>10</v>
      </c>
      <c r="D57">
        <v>10</v>
      </c>
      <c r="E57">
        <v>10</v>
      </c>
    </row>
    <row r="58" spans="1:5" x14ac:dyDescent="0.3">
      <c r="A58" s="21" t="s">
        <v>73</v>
      </c>
      <c r="B58">
        <v>20</v>
      </c>
      <c r="C58">
        <v>18</v>
      </c>
      <c r="D58">
        <v>11</v>
      </c>
      <c r="E58">
        <v>3</v>
      </c>
    </row>
    <row r="59" spans="1:5" x14ac:dyDescent="0.3">
      <c r="A59" s="21" t="s">
        <v>74</v>
      </c>
      <c r="B59">
        <v>20</v>
      </c>
      <c r="C59">
        <v>15</v>
      </c>
      <c r="D59">
        <v>9</v>
      </c>
      <c r="E59">
        <v>2</v>
      </c>
    </row>
    <row r="60" spans="1:5" x14ac:dyDescent="0.3">
      <c r="A60" s="22" t="s">
        <v>75</v>
      </c>
      <c r="B60">
        <v>20</v>
      </c>
      <c r="C60">
        <v>12</v>
      </c>
      <c r="D60">
        <v>5</v>
      </c>
      <c r="E60">
        <v>0</v>
      </c>
    </row>
    <row r="73" spans="1:19" x14ac:dyDescent="0.3">
      <c r="B73" t="s">
        <v>126</v>
      </c>
      <c r="C73" t="s">
        <v>127</v>
      </c>
      <c r="D73" t="s">
        <v>128</v>
      </c>
      <c r="E73" t="s">
        <v>129</v>
      </c>
      <c r="F73" t="s">
        <v>130</v>
      </c>
      <c r="G73" t="s">
        <v>131</v>
      </c>
      <c r="H73" t="s">
        <v>132</v>
      </c>
      <c r="I73" t="s">
        <v>133</v>
      </c>
      <c r="J73" t="s">
        <v>134</v>
      </c>
      <c r="K73" t="s">
        <v>135</v>
      </c>
      <c r="L73" t="s">
        <v>136</v>
      </c>
      <c r="M73" t="s">
        <v>137</v>
      </c>
      <c r="N73" t="s">
        <v>138</v>
      </c>
      <c r="O73" t="s">
        <v>139</v>
      </c>
      <c r="P73" t="s">
        <v>140</v>
      </c>
      <c r="Q73" t="s">
        <v>141</v>
      </c>
      <c r="R73" t="s">
        <v>142</v>
      </c>
      <c r="S73" t="s">
        <v>143</v>
      </c>
    </row>
    <row r="74" spans="1:19" x14ac:dyDescent="0.3">
      <c r="A74" s="21" t="s">
        <v>69</v>
      </c>
      <c r="B74">
        <v>8</v>
      </c>
      <c r="C74">
        <v>7</v>
      </c>
      <c r="D74">
        <v>29</v>
      </c>
      <c r="E74">
        <v>13</v>
      </c>
      <c r="F74">
        <v>7</v>
      </c>
      <c r="G74">
        <v>22</v>
      </c>
      <c r="H74">
        <v>12</v>
      </c>
      <c r="I74">
        <v>12</v>
      </c>
      <c r="J74">
        <v>26</v>
      </c>
      <c r="K74">
        <v>72</v>
      </c>
      <c r="L74">
        <v>4</v>
      </c>
      <c r="M74">
        <v>6</v>
      </c>
      <c r="N74">
        <v>28</v>
      </c>
      <c r="O74">
        <v>47</v>
      </c>
      <c r="P74">
        <v>27</v>
      </c>
      <c r="Q74">
        <v>16</v>
      </c>
      <c r="R74">
        <v>7</v>
      </c>
      <c r="S74">
        <v>7</v>
      </c>
    </row>
    <row r="75" spans="1:19" x14ac:dyDescent="0.3">
      <c r="A75" s="22" t="s">
        <v>70</v>
      </c>
      <c r="B75">
        <v>22</v>
      </c>
      <c r="C75">
        <v>28</v>
      </c>
      <c r="D75">
        <v>24</v>
      </c>
      <c r="E75">
        <v>36</v>
      </c>
      <c r="F75">
        <v>22</v>
      </c>
      <c r="G75">
        <v>14</v>
      </c>
      <c r="H75">
        <v>25</v>
      </c>
      <c r="I75">
        <v>29</v>
      </c>
      <c r="J75">
        <v>9</v>
      </c>
      <c r="K75">
        <v>10</v>
      </c>
      <c r="L75">
        <v>19</v>
      </c>
      <c r="M75">
        <v>29</v>
      </c>
      <c r="N75">
        <v>20</v>
      </c>
      <c r="O75">
        <v>19</v>
      </c>
      <c r="P75">
        <v>28</v>
      </c>
      <c r="Q75">
        <v>19</v>
      </c>
      <c r="R75">
        <v>32</v>
      </c>
      <c r="S75">
        <v>28</v>
      </c>
    </row>
    <row r="76" spans="1:19" x14ac:dyDescent="0.3">
      <c r="A76" s="21" t="s">
        <v>71</v>
      </c>
      <c r="B76">
        <v>17</v>
      </c>
      <c r="C76">
        <v>22</v>
      </c>
      <c r="D76">
        <v>17</v>
      </c>
      <c r="E76">
        <v>22</v>
      </c>
      <c r="F76">
        <v>29</v>
      </c>
      <c r="G76">
        <v>11</v>
      </c>
      <c r="H76">
        <v>23</v>
      </c>
      <c r="I76">
        <v>14</v>
      </c>
      <c r="J76">
        <v>27</v>
      </c>
      <c r="K76">
        <v>6</v>
      </c>
      <c r="L76">
        <v>36</v>
      </c>
      <c r="M76">
        <v>26</v>
      </c>
      <c r="N76">
        <v>10</v>
      </c>
      <c r="O76">
        <v>11</v>
      </c>
      <c r="P76">
        <v>16</v>
      </c>
      <c r="Q76">
        <v>15</v>
      </c>
      <c r="R76">
        <v>27</v>
      </c>
      <c r="S76">
        <v>18</v>
      </c>
    </row>
    <row r="77" spans="1:19" x14ac:dyDescent="0.3">
      <c r="A77" s="22" t="s">
        <v>72</v>
      </c>
      <c r="B77">
        <v>35</v>
      </c>
      <c r="C77">
        <v>26</v>
      </c>
      <c r="D77">
        <v>7</v>
      </c>
      <c r="E77">
        <v>15</v>
      </c>
      <c r="F77">
        <v>7</v>
      </c>
      <c r="G77">
        <v>2</v>
      </c>
      <c r="H77">
        <v>12</v>
      </c>
      <c r="I77">
        <v>4</v>
      </c>
      <c r="J77">
        <v>17</v>
      </c>
      <c r="K77">
        <v>2</v>
      </c>
      <c r="L77">
        <v>19</v>
      </c>
      <c r="M77">
        <v>9</v>
      </c>
      <c r="N77">
        <v>18</v>
      </c>
      <c r="O77">
        <v>7</v>
      </c>
      <c r="P77">
        <v>8</v>
      </c>
      <c r="Q77">
        <v>8</v>
      </c>
      <c r="R77">
        <v>12</v>
      </c>
      <c r="S77">
        <v>29</v>
      </c>
    </row>
    <row r="78" spans="1:19" x14ac:dyDescent="0.3">
      <c r="A78" s="21" t="s">
        <v>77</v>
      </c>
      <c r="B78">
        <v>0</v>
      </c>
      <c r="C78">
        <v>1</v>
      </c>
      <c r="D78">
        <v>1</v>
      </c>
      <c r="E78">
        <v>2</v>
      </c>
      <c r="F78">
        <v>4</v>
      </c>
      <c r="G78">
        <v>5</v>
      </c>
      <c r="H78">
        <v>1</v>
      </c>
      <c r="I78">
        <v>3</v>
      </c>
      <c r="J78">
        <v>2</v>
      </c>
      <c r="K78">
        <v>1</v>
      </c>
      <c r="L78">
        <v>1</v>
      </c>
      <c r="M78">
        <v>3</v>
      </c>
      <c r="N78">
        <v>1</v>
      </c>
      <c r="O78">
        <v>2</v>
      </c>
      <c r="P78">
        <v>4</v>
      </c>
      <c r="Q78">
        <v>1</v>
      </c>
      <c r="R78">
        <v>2</v>
      </c>
      <c r="S78">
        <v>2</v>
      </c>
    </row>
    <row r="79" spans="1:19" x14ac:dyDescent="0.3">
      <c r="A79" s="21" t="s">
        <v>76</v>
      </c>
      <c r="B79">
        <v>7</v>
      </c>
      <c r="C79">
        <v>5</v>
      </c>
      <c r="D79">
        <v>8</v>
      </c>
      <c r="E79">
        <v>8</v>
      </c>
      <c r="F79">
        <v>15</v>
      </c>
      <c r="G79">
        <v>25</v>
      </c>
      <c r="H79">
        <v>16</v>
      </c>
      <c r="I79">
        <v>13</v>
      </c>
      <c r="J79">
        <v>10</v>
      </c>
      <c r="K79">
        <v>2</v>
      </c>
      <c r="L79">
        <v>9</v>
      </c>
      <c r="M79">
        <v>17</v>
      </c>
      <c r="N79">
        <v>2</v>
      </c>
      <c r="O79">
        <v>5</v>
      </c>
      <c r="P79">
        <v>7</v>
      </c>
      <c r="Q79">
        <v>12</v>
      </c>
      <c r="R79">
        <v>14</v>
      </c>
      <c r="S79">
        <v>2</v>
      </c>
    </row>
    <row r="80" spans="1:19" x14ac:dyDescent="0.3">
      <c r="A80" s="21" t="s">
        <v>73</v>
      </c>
      <c r="B80">
        <v>10</v>
      </c>
      <c r="C80">
        <v>8</v>
      </c>
      <c r="D80">
        <v>3</v>
      </c>
      <c r="E80">
        <v>2</v>
      </c>
      <c r="F80">
        <v>16</v>
      </c>
      <c r="G80">
        <v>5</v>
      </c>
      <c r="H80">
        <v>5</v>
      </c>
      <c r="I80">
        <v>2</v>
      </c>
      <c r="J80">
        <v>1</v>
      </c>
      <c r="K80">
        <v>4</v>
      </c>
      <c r="L80">
        <v>0</v>
      </c>
      <c r="M80">
        <v>7</v>
      </c>
      <c r="N80">
        <v>21</v>
      </c>
      <c r="O80">
        <v>3</v>
      </c>
      <c r="P80">
        <v>3</v>
      </c>
      <c r="Q80">
        <v>1</v>
      </c>
      <c r="R80">
        <v>1</v>
      </c>
      <c r="S80">
        <v>13</v>
      </c>
    </row>
    <row r="81" spans="1:19" x14ac:dyDescent="0.3">
      <c r="A81" s="21" t="s">
        <v>74</v>
      </c>
      <c r="B81">
        <v>1</v>
      </c>
      <c r="C81">
        <v>3</v>
      </c>
      <c r="D81">
        <v>7</v>
      </c>
      <c r="E81">
        <v>2</v>
      </c>
      <c r="F81">
        <v>0</v>
      </c>
      <c r="G81">
        <v>9</v>
      </c>
      <c r="H81">
        <v>5</v>
      </c>
      <c r="I81">
        <v>18</v>
      </c>
      <c r="J81">
        <v>8</v>
      </c>
      <c r="K81">
        <v>1</v>
      </c>
      <c r="L81">
        <v>6</v>
      </c>
      <c r="M81">
        <v>2</v>
      </c>
      <c r="N81">
        <v>0</v>
      </c>
      <c r="O81">
        <v>4</v>
      </c>
      <c r="P81">
        <v>4</v>
      </c>
      <c r="Q81">
        <v>6</v>
      </c>
      <c r="R81">
        <v>5</v>
      </c>
      <c r="S81">
        <v>1</v>
      </c>
    </row>
    <row r="82" spans="1:19" x14ac:dyDescent="0.3">
      <c r="A82" s="22" t="s">
        <v>75</v>
      </c>
      <c r="B82">
        <v>0</v>
      </c>
      <c r="C82">
        <v>0</v>
      </c>
      <c r="D82">
        <v>4</v>
      </c>
      <c r="E82">
        <v>0</v>
      </c>
      <c r="F82">
        <v>0</v>
      </c>
      <c r="G82">
        <v>7</v>
      </c>
      <c r="H82">
        <v>1</v>
      </c>
      <c r="I82">
        <v>5</v>
      </c>
      <c r="J82">
        <v>0</v>
      </c>
      <c r="K82">
        <v>2</v>
      </c>
      <c r="L82">
        <v>6</v>
      </c>
      <c r="M82">
        <v>1</v>
      </c>
      <c r="N82">
        <v>0</v>
      </c>
      <c r="O82">
        <v>2</v>
      </c>
      <c r="P82">
        <v>3</v>
      </c>
      <c r="Q82">
        <v>22</v>
      </c>
      <c r="R82">
        <v>0</v>
      </c>
      <c r="S82">
        <v>0</v>
      </c>
    </row>
    <row r="84" spans="1:19" x14ac:dyDescent="0.3">
      <c r="B84">
        <f>SUM(B74:B82)</f>
        <v>100</v>
      </c>
      <c r="C84">
        <f t="shared" ref="C84:S84" si="10">SUM(C74:C82)</f>
        <v>100</v>
      </c>
      <c r="D84">
        <f t="shared" si="10"/>
        <v>100</v>
      </c>
      <c r="E84">
        <f t="shared" si="10"/>
        <v>100</v>
      </c>
      <c r="F84">
        <f t="shared" si="10"/>
        <v>100</v>
      </c>
      <c r="G84">
        <f t="shared" si="10"/>
        <v>100</v>
      </c>
      <c r="H84">
        <f t="shared" si="10"/>
        <v>100</v>
      </c>
      <c r="I84">
        <f t="shared" si="10"/>
        <v>100</v>
      </c>
      <c r="J84">
        <f t="shared" si="10"/>
        <v>100</v>
      </c>
      <c r="K84">
        <f t="shared" si="10"/>
        <v>100</v>
      </c>
      <c r="L84">
        <f t="shared" si="10"/>
        <v>100</v>
      </c>
      <c r="M84">
        <f t="shared" si="10"/>
        <v>100</v>
      </c>
      <c r="N84">
        <f t="shared" si="10"/>
        <v>100</v>
      </c>
      <c r="O84">
        <f>SUM(O74:O83)</f>
        <v>100</v>
      </c>
      <c r="P84">
        <f t="shared" si="10"/>
        <v>100</v>
      </c>
      <c r="Q84">
        <f t="shared" si="10"/>
        <v>100</v>
      </c>
      <c r="R84">
        <f t="shared" si="10"/>
        <v>100</v>
      </c>
      <c r="S84">
        <f t="shared" si="10"/>
        <v>100</v>
      </c>
    </row>
    <row r="168" spans="1:2" x14ac:dyDescent="0.3">
      <c r="B168" t="s">
        <v>104</v>
      </c>
    </row>
    <row r="169" spans="1:2" x14ac:dyDescent="0.3">
      <c r="A169" s="21" t="s">
        <v>69</v>
      </c>
    </row>
    <row r="170" spans="1:2" x14ac:dyDescent="0.3">
      <c r="A170" s="22" t="s">
        <v>70</v>
      </c>
    </row>
    <row r="171" spans="1:2" x14ac:dyDescent="0.3">
      <c r="A171" s="21" t="s">
        <v>71</v>
      </c>
    </row>
    <row r="172" spans="1:2" x14ac:dyDescent="0.3">
      <c r="A172" s="22" t="s">
        <v>72</v>
      </c>
    </row>
    <row r="173" spans="1:2" x14ac:dyDescent="0.3">
      <c r="A173" s="21" t="s">
        <v>77</v>
      </c>
    </row>
    <row r="174" spans="1:2" x14ac:dyDescent="0.3">
      <c r="A174" s="21" t="s">
        <v>76</v>
      </c>
    </row>
    <row r="175" spans="1:2" x14ac:dyDescent="0.3">
      <c r="A175" s="21" t="s">
        <v>73</v>
      </c>
    </row>
    <row r="176" spans="1:2" x14ac:dyDescent="0.3">
      <c r="A176" s="21" t="s">
        <v>74</v>
      </c>
    </row>
    <row r="177" spans="1:39" x14ac:dyDescent="0.3">
      <c r="A177" s="22" t="s">
        <v>75</v>
      </c>
    </row>
    <row r="178" spans="1:39" x14ac:dyDescent="0.3">
      <c r="L178" t="s">
        <v>298</v>
      </c>
      <c r="M178" t="s">
        <v>300</v>
      </c>
      <c r="P178" t="s">
        <v>300</v>
      </c>
      <c r="S178" t="s">
        <v>300</v>
      </c>
      <c r="V178" t="s">
        <v>300</v>
      </c>
      <c r="Y178" t="s">
        <v>312</v>
      </c>
      <c r="AB178" t="s">
        <v>313</v>
      </c>
      <c r="AE178" t="s">
        <v>5</v>
      </c>
      <c r="AH178" t="s">
        <v>54</v>
      </c>
      <c r="AK178" t="s">
        <v>55</v>
      </c>
    </row>
    <row r="179" spans="1:39" x14ac:dyDescent="0.3">
      <c r="D179" s="47" t="s">
        <v>56</v>
      </c>
      <c r="E179" s="47"/>
      <c r="F179" s="47" t="s">
        <v>299</v>
      </c>
      <c r="G179" s="47"/>
      <c r="H179" s="47" t="s">
        <v>36</v>
      </c>
      <c r="I179" s="47"/>
      <c r="J179">
        <v>2015</v>
      </c>
      <c r="K179" t="s">
        <v>56</v>
      </c>
      <c r="L179">
        <v>5191690</v>
      </c>
      <c r="M179">
        <v>10000</v>
      </c>
      <c r="P179">
        <v>2000</v>
      </c>
      <c r="S179">
        <v>50000</v>
      </c>
      <c r="V179">
        <v>2000</v>
      </c>
      <c r="Y179">
        <v>4780</v>
      </c>
      <c r="AB179">
        <v>10380</v>
      </c>
      <c r="AE179">
        <v>66380</v>
      </c>
      <c r="AH179">
        <v>58802</v>
      </c>
      <c r="AK179">
        <v>18159</v>
      </c>
    </row>
    <row r="180" spans="1:39" x14ac:dyDescent="0.3">
      <c r="D180">
        <v>2015</v>
      </c>
      <c r="E180">
        <v>2025</v>
      </c>
      <c r="F180">
        <v>2015</v>
      </c>
      <c r="G180">
        <v>2025</v>
      </c>
      <c r="K180" t="s">
        <v>36</v>
      </c>
      <c r="L180">
        <v>141840</v>
      </c>
      <c r="P180">
        <v>8000</v>
      </c>
      <c r="S180">
        <v>16000</v>
      </c>
      <c r="V180">
        <v>16000</v>
      </c>
      <c r="Y180">
        <v>16000</v>
      </c>
      <c r="AB180">
        <v>12090</v>
      </c>
      <c r="AE180">
        <v>19161</v>
      </c>
      <c r="AH180">
        <v>2812</v>
      </c>
      <c r="AK180">
        <v>11547.5</v>
      </c>
    </row>
    <row r="181" spans="1:39" x14ac:dyDescent="0.3">
      <c r="C181" t="s">
        <v>298</v>
      </c>
      <c r="D181">
        <v>5400000</v>
      </c>
      <c r="E181">
        <v>5500000</v>
      </c>
      <c r="K181" t="s">
        <v>305</v>
      </c>
      <c r="M181">
        <v>8</v>
      </c>
      <c r="P181">
        <v>8</v>
      </c>
      <c r="S181">
        <v>8</v>
      </c>
      <c r="V181">
        <v>8</v>
      </c>
      <c r="Y181">
        <v>8</v>
      </c>
      <c r="AB181">
        <v>8</v>
      </c>
      <c r="AE181">
        <v>8</v>
      </c>
      <c r="AH181">
        <v>8</v>
      </c>
      <c r="AK181">
        <v>8</v>
      </c>
    </row>
    <row r="182" spans="1:39" x14ac:dyDescent="0.3">
      <c r="C182" t="s">
        <v>59</v>
      </c>
      <c r="K182" t="s">
        <v>34</v>
      </c>
      <c r="M182">
        <v>1</v>
      </c>
      <c r="P182">
        <v>1</v>
      </c>
      <c r="S182">
        <v>1</v>
      </c>
      <c r="V182">
        <v>1</v>
      </c>
      <c r="Y182">
        <v>1</v>
      </c>
      <c r="AB182">
        <v>1</v>
      </c>
      <c r="AE182">
        <v>1</v>
      </c>
      <c r="AH182">
        <v>1</v>
      </c>
      <c r="AK182">
        <v>1</v>
      </c>
    </row>
    <row r="183" spans="1:39" x14ac:dyDescent="0.3">
      <c r="K183" t="s">
        <v>31</v>
      </c>
      <c r="M183">
        <v>3</v>
      </c>
      <c r="P183">
        <v>3</v>
      </c>
      <c r="S183">
        <v>3</v>
      </c>
      <c r="V183">
        <v>3</v>
      </c>
      <c r="Y183">
        <v>3</v>
      </c>
      <c r="AB183">
        <v>3</v>
      </c>
      <c r="AE183">
        <v>3</v>
      </c>
      <c r="AH183">
        <v>3</v>
      </c>
      <c r="AK183">
        <v>3</v>
      </c>
    </row>
    <row r="184" spans="1:39" x14ac:dyDescent="0.3">
      <c r="K184" t="s">
        <v>303</v>
      </c>
      <c r="M184">
        <v>1</v>
      </c>
      <c r="P184">
        <v>1</v>
      </c>
      <c r="S184">
        <v>1</v>
      </c>
      <c r="V184">
        <v>1</v>
      </c>
      <c r="Y184">
        <v>1</v>
      </c>
      <c r="AB184">
        <v>1</v>
      </c>
      <c r="AE184">
        <v>1</v>
      </c>
      <c r="AH184">
        <v>1</v>
      </c>
      <c r="AK184">
        <v>1</v>
      </c>
    </row>
    <row r="185" spans="1:39" x14ac:dyDescent="0.3">
      <c r="K185" t="s">
        <v>304</v>
      </c>
      <c r="M185">
        <v>1</v>
      </c>
      <c r="P185">
        <v>1</v>
      </c>
      <c r="S185">
        <v>1</v>
      </c>
      <c r="V185">
        <v>1</v>
      </c>
      <c r="Y185">
        <v>1</v>
      </c>
      <c r="AB185">
        <v>1</v>
      </c>
      <c r="AE185">
        <v>1</v>
      </c>
      <c r="AH185">
        <v>1</v>
      </c>
      <c r="AK185">
        <v>1</v>
      </c>
    </row>
    <row r="186" spans="1:39" x14ac:dyDescent="0.3">
      <c r="K186" t="s">
        <v>32</v>
      </c>
      <c r="M186">
        <v>6</v>
      </c>
      <c r="P186">
        <v>6</v>
      </c>
      <c r="S186">
        <v>6</v>
      </c>
      <c r="V186">
        <v>6</v>
      </c>
      <c r="Y186">
        <v>6</v>
      </c>
      <c r="AB186">
        <v>6</v>
      </c>
      <c r="AE186">
        <v>6</v>
      </c>
      <c r="AH186">
        <v>6</v>
      </c>
      <c r="AK186">
        <v>6</v>
      </c>
    </row>
    <row r="187" spans="1:39" x14ac:dyDescent="0.3">
      <c r="K187" t="s">
        <v>278</v>
      </c>
      <c r="M187">
        <v>15</v>
      </c>
      <c r="P187">
        <v>15</v>
      </c>
      <c r="S187">
        <v>15</v>
      </c>
      <c r="V187">
        <v>15</v>
      </c>
      <c r="Y187">
        <v>15</v>
      </c>
      <c r="AB187">
        <v>15</v>
      </c>
      <c r="AE187">
        <v>15</v>
      </c>
      <c r="AH187">
        <v>15</v>
      </c>
      <c r="AK187">
        <v>15</v>
      </c>
    </row>
    <row r="188" spans="1:39" x14ac:dyDescent="0.3">
      <c r="K188" t="s">
        <v>306</v>
      </c>
      <c r="M188">
        <v>27</v>
      </c>
      <c r="P188">
        <v>27</v>
      </c>
      <c r="S188">
        <v>27</v>
      </c>
      <c r="V188">
        <v>27</v>
      </c>
      <c r="Y188">
        <v>27</v>
      </c>
      <c r="AB188">
        <v>27</v>
      </c>
      <c r="AE188">
        <v>27</v>
      </c>
      <c r="AH188">
        <v>27</v>
      </c>
      <c r="AK188">
        <v>27</v>
      </c>
    </row>
    <row r="190" spans="1:39" x14ac:dyDescent="0.3">
      <c r="J190">
        <v>2025</v>
      </c>
      <c r="K190" t="s">
        <v>56</v>
      </c>
      <c r="L190">
        <v>5400000</v>
      </c>
      <c r="M190">
        <v>50000</v>
      </c>
      <c r="N190">
        <f>M190-M179</f>
        <v>40000</v>
      </c>
      <c r="O190">
        <f>N190/M179*100</f>
        <v>400</v>
      </c>
      <c r="P190">
        <v>9000</v>
      </c>
      <c r="Q190">
        <f>P190-P179</f>
        <v>7000</v>
      </c>
      <c r="R190">
        <f>Q190/P179*100</f>
        <v>350</v>
      </c>
      <c r="S190">
        <v>57000</v>
      </c>
      <c r="T190">
        <f>S190-S179</f>
        <v>7000</v>
      </c>
      <c r="U190">
        <f>T190/S179*100</f>
        <v>14.000000000000002</v>
      </c>
      <c r="V190">
        <v>57000</v>
      </c>
      <c r="W190">
        <f>V190-V179</f>
        <v>55000</v>
      </c>
      <c r="X190">
        <f>W190/V179*100</f>
        <v>2750</v>
      </c>
      <c r="Y190">
        <v>5760</v>
      </c>
      <c r="Z190">
        <f>Y190-Y179</f>
        <v>980</v>
      </c>
      <c r="AA190">
        <f>Z190/Y179*100</f>
        <v>20.502092050209207</v>
      </c>
      <c r="AB190">
        <v>65136</v>
      </c>
      <c r="AC190">
        <f>AB190-AB179</f>
        <v>54756</v>
      </c>
      <c r="AD190">
        <f>AC190/AB179*100</f>
        <v>527.51445086705201</v>
      </c>
      <c r="AE190">
        <v>120000</v>
      </c>
      <c r="AF190">
        <f>AE190-AE179</f>
        <v>53620</v>
      </c>
      <c r="AG190">
        <f>AF190/AE179*100</f>
        <v>80.777342573064175</v>
      </c>
      <c r="AH190">
        <v>72000</v>
      </c>
      <c r="AI190">
        <f>AH190-AH179</f>
        <v>13198</v>
      </c>
      <c r="AJ190">
        <f>AI190/AH179*100</f>
        <v>22.444814802217611</v>
      </c>
      <c r="AK190">
        <v>32810</v>
      </c>
      <c r="AL190">
        <f>AK190-AK179</f>
        <v>14651</v>
      </c>
      <c r="AM190">
        <f>AL190/AK179*100</f>
        <v>80.681755603282127</v>
      </c>
    </row>
    <row r="191" spans="1:39" x14ac:dyDescent="0.3">
      <c r="K191" t="s">
        <v>305</v>
      </c>
      <c r="M191">
        <v>6</v>
      </c>
      <c r="N191">
        <f t="shared" ref="N191:N198" si="11">M191-M181</f>
        <v>-2</v>
      </c>
      <c r="O191" s="33">
        <f t="shared" ref="O191:O198" si="12">N191/$N$201*100</f>
        <v>-5.1282051282051277</v>
      </c>
      <c r="P191">
        <v>6</v>
      </c>
      <c r="Q191">
        <f t="shared" ref="Q191:Q198" si="13">P191-P181</f>
        <v>-2</v>
      </c>
      <c r="R191" s="33">
        <f t="shared" ref="R191:R198" si="14">Q191/$N$201*100</f>
        <v>-5.1282051282051277</v>
      </c>
      <c r="S191">
        <v>6</v>
      </c>
      <c r="T191">
        <f t="shared" ref="T191:T198" si="15">S191-S181</f>
        <v>-2</v>
      </c>
      <c r="U191" s="33">
        <f t="shared" ref="U191:U198" si="16">T191/$N$201*100</f>
        <v>-5.1282051282051277</v>
      </c>
      <c r="V191">
        <v>6</v>
      </c>
      <c r="W191">
        <f t="shared" ref="W191:W198" si="17">V191-V181</f>
        <v>-2</v>
      </c>
      <c r="X191" s="33">
        <f t="shared" ref="X191:X198" si="18">W191/$N$201*100</f>
        <v>-5.1282051282051277</v>
      </c>
      <c r="Y191">
        <v>6</v>
      </c>
      <c r="Z191">
        <f t="shared" ref="Z191:Z198" si="19">Y191-Y181</f>
        <v>-2</v>
      </c>
      <c r="AA191" s="33">
        <f t="shared" ref="AA191:AA198" si="20">Z191/$N$201*100</f>
        <v>-5.1282051282051277</v>
      </c>
      <c r="AB191">
        <v>6</v>
      </c>
      <c r="AC191">
        <f t="shared" ref="AC191:AC198" si="21">AB191-AB181</f>
        <v>-2</v>
      </c>
      <c r="AD191" s="33">
        <f t="shared" ref="AD191:AD198" si="22">AC191/$N$201*100</f>
        <v>-5.1282051282051277</v>
      </c>
      <c r="AE191">
        <v>6</v>
      </c>
      <c r="AF191">
        <f t="shared" ref="AF191:AF198" si="23">AE191-AE181</f>
        <v>-2</v>
      </c>
      <c r="AG191" s="33">
        <f t="shared" ref="AG191:AG198" si="24">AF191/$N$201*100</f>
        <v>-5.1282051282051277</v>
      </c>
      <c r="AH191">
        <v>6</v>
      </c>
      <c r="AI191">
        <f t="shared" ref="AI191:AI198" si="25">AH191-AH181</f>
        <v>-2</v>
      </c>
      <c r="AJ191" s="33">
        <f t="shared" ref="AJ191:AJ198" si="26">AI191/$N$201*100</f>
        <v>-5.1282051282051277</v>
      </c>
      <c r="AK191">
        <v>6</v>
      </c>
      <c r="AL191">
        <f t="shared" ref="AL191:AL198" si="27">AK191-AK181</f>
        <v>-2</v>
      </c>
      <c r="AM191" s="33">
        <f t="shared" ref="AM191:AM198" si="28">AL191/$N$201*100</f>
        <v>-5.1282051282051277</v>
      </c>
    </row>
    <row r="192" spans="1:39" x14ac:dyDescent="0.3">
      <c r="K192" t="s">
        <v>34</v>
      </c>
      <c r="M192">
        <v>5</v>
      </c>
      <c r="N192">
        <f t="shared" si="11"/>
        <v>4</v>
      </c>
      <c r="O192" s="33">
        <f t="shared" si="12"/>
        <v>10.256410256410255</v>
      </c>
      <c r="P192">
        <v>5</v>
      </c>
      <c r="Q192">
        <f t="shared" si="13"/>
        <v>4</v>
      </c>
      <c r="R192" s="33">
        <f t="shared" si="14"/>
        <v>10.256410256410255</v>
      </c>
      <c r="S192">
        <v>5</v>
      </c>
      <c r="T192">
        <f t="shared" si="15"/>
        <v>4</v>
      </c>
      <c r="U192" s="33">
        <f t="shared" si="16"/>
        <v>10.256410256410255</v>
      </c>
      <c r="V192">
        <v>5</v>
      </c>
      <c r="W192">
        <f t="shared" si="17"/>
        <v>4</v>
      </c>
      <c r="X192" s="33">
        <f t="shared" si="18"/>
        <v>10.256410256410255</v>
      </c>
      <c r="Y192">
        <v>5</v>
      </c>
      <c r="Z192">
        <f t="shared" si="19"/>
        <v>4</v>
      </c>
      <c r="AA192" s="33">
        <f t="shared" si="20"/>
        <v>10.256410256410255</v>
      </c>
      <c r="AB192">
        <v>5</v>
      </c>
      <c r="AC192">
        <f t="shared" si="21"/>
        <v>4</v>
      </c>
      <c r="AD192" s="33">
        <f t="shared" si="22"/>
        <v>10.256410256410255</v>
      </c>
      <c r="AE192">
        <v>5</v>
      </c>
      <c r="AF192">
        <f t="shared" si="23"/>
        <v>4</v>
      </c>
      <c r="AG192" s="33">
        <f t="shared" si="24"/>
        <v>10.256410256410255</v>
      </c>
      <c r="AH192">
        <v>5</v>
      </c>
      <c r="AI192">
        <f t="shared" si="25"/>
        <v>4</v>
      </c>
      <c r="AJ192" s="33">
        <f t="shared" si="26"/>
        <v>10.256410256410255</v>
      </c>
      <c r="AK192">
        <v>5</v>
      </c>
      <c r="AL192">
        <f t="shared" si="27"/>
        <v>4</v>
      </c>
      <c r="AM192" s="33">
        <f t="shared" si="28"/>
        <v>10.256410256410255</v>
      </c>
    </row>
    <row r="193" spans="3:39" x14ac:dyDescent="0.3">
      <c r="K193" t="s">
        <v>31</v>
      </c>
      <c r="M193">
        <v>10</v>
      </c>
      <c r="N193">
        <f t="shared" si="11"/>
        <v>7</v>
      </c>
      <c r="O193" s="33">
        <f t="shared" si="12"/>
        <v>17.948717948717949</v>
      </c>
      <c r="P193">
        <v>10</v>
      </c>
      <c r="Q193">
        <f t="shared" si="13"/>
        <v>7</v>
      </c>
      <c r="R193" s="33">
        <f t="shared" si="14"/>
        <v>17.948717948717949</v>
      </c>
      <c r="S193">
        <v>10</v>
      </c>
      <c r="T193">
        <f t="shared" si="15"/>
        <v>7</v>
      </c>
      <c r="U193" s="33">
        <f t="shared" si="16"/>
        <v>17.948717948717949</v>
      </c>
      <c r="V193">
        <v>10</v>
      </c>
      <c r="W193">
        <f t="shared" si="17"/>
        <v>7</v>
      </c>
      <c r="X193" s="33">
        <f t="shared" si="18"/>
        <v>17.948717948717949</v>
      </c>
      <c r="Y193">
        <v>10</v>
      </c>
      <c r="Z193">
        <f t="shared" si="19"/>
        <v>7</v>
      </c>
      <c r="AA193" s="33">
        <f t="shared" si="20"/>
        <v>17.948717948717949</v>
      </c>
      <c r="AB193">
        <v>10</v>
      </c>
      <c r="AC193">
        <f t="shared" si="21"/>
        <v>7</v>
      </c>
      <c r="AD193" s="33">
        <f t="shared" si="22"/>
        <v>17.948717948717949</v>
      </c>
      <c r="AE193">
        <v>10</v>
      </c>
      <c r="AF193">
        <f t="shared" si="23"/>
        <v>7</v>
      </c>
      <c r="AG193" s="33">
        <f t="shared" si="24"/>
        <v>17.948717948717949</v>
      </c>
      <c r="AH193">
        <v>10</v>
      </c>
      <c r="AI193">
        <f t="shared" si="25"/>
        <v>7</v>
      </c>
      <c r="AJ193" s="33">
        <f t="shared" si="26"/>
        <v>17.948717948717949</v>
      </c>
      <c r="AK193">
        <v>10</v>
      </c>
      <c r="AL193">
        <f t="shared" si="27"/>
        <v>7</v>
      </c>
      <c r="AM193" s="33">
        <f t="shared" si="28"/>
        <v>17.948717948717949</v>
      </c>
    </row>
    <row r="194" spans="3:39" x14ac:dyDescent="0.3">
      <c r="K194" t="s">
        <v>303</v>
      </c>
      <c r="M194">
        <v>3</v>
      </c>
      <c r="N194">
        <f t="shared" si="11"/>
        <v>2</v>
      </c>
      <c r="O194" s="33">
        <f t="shared" si="12"/>
        <v>5.1282051282051277</v>
      </c>
      <c r="P194">
        <v>3</v>
      </c>
      <c r="Q194">
        <f t="shared" si="13"/>
        <v>2</v>
      </c>
      <c r="R194" s="33">
        <f t="shared" si="14"/>
        <v>5.1282051282051277</v>
      </c>
      <c r="S194">
        <v>3</v>
      </c>
      <c r="T194">
        <f t="shared" si="15"/>
        <v>2</v>
      </c>
      <c r="U194" s="33">
        <f t="shared" si="16"/>
        <v>5.1282051282051277</v>
      </c>
      <c r="V194">
        <v>3</v>
      </c>
      <c r="W194">
        <f t="shared" si="17"/>
        <v>2</v>
      </c>
      <c r="X194" s="33">
        <f t="shared" si="18"/>
        <v>5.1282051282051277</v>
      </c>
      <c r="Y194">
        <v>3</v>
      </c>
      <c r="Z194">
        <f t="shared" si="19"/>
        <v>2</v>
      </c>
      <c r="AA194" s="33">
        <f t="shared" si="20"/>
        <v>5.1282051282051277</v>
      </c>
      <c r="AB194">
        <v>3</v>
      </c>
      <c r="AC194">
        <f t="shared" si="21"/>
        <v>2</v>
      </c>
      <c r="AD194" s="33">
        <f t="shared" si="22"/>
        <v>5.1282051282051277</v>
      </c>
      <c r="AE194">
        <v>3</v>
      </c>
      <c r="AF194">
        <f t="shared" si="23"/>
        <v>2</v>
      </c>
      <c r="AG194" s="33">
        <f t="shared" si="24"/>
        <v>5.1282051282051277</v>
      </c>
      <c r="AH194">
        <v>3</v>
      </c>
      <c r="AI194">
        <f t="shared" si="25"/>
        <v>2</v>
      </c>
      <c r="AJ194" s="33">
        <f t="shared" si="26"/>
        <v>5.1282051282051277</v>
      </c>
      <c r="AK194">
        <v>3</v>
      </c>
      <c r="AL194">
        <f t="shared" si="27"/>
        <v>2</v>
      </c>
      <c r="AM194" s="33">
        <f t="shared" si="28"/>
        <v>5.1282051282051277</v>
      </c>
    </row>
    <row r="195" spans="3:39" x14ac:dyDescent="0.3">
      <c r="K195" t="s">
        <v>304</v>
      </c>
      <c r="M195">
        <v>5</v>
      </c>
      <c r="N195">
        <f t="shared" si="11"/>
        <v>4</v>
      </c>
      <c r="O195" s="33">
        <f t="shared" si="12"/>
        <v>10.256410256410255</v>
      </c>
      <c r="P195">
        <v>5</v>
      </c>
      <c r="Q195">
        <f t="shared" si="13"/>
        <v>4</v>
      </c>
      <c r="R195" s="33">
        <f t="shared" si="14"/>
        <v>10.256410256410255</v>
      </c>
      <c r="S195">
        <v>5</v>
      </c>
      <c r="T195">
        <f t="shared" si="15"/>
        <v>4</v>
      </c>
      <c r="U195" s="33">
        <f t="shared" si="16"/>
        <v>10.256410256410255</v>
      </c>
      <c r="V195">
        <v>5</v>
      </c>
      <c r="W195">
        <f t="shared" si="17"/>
        <v>4</v>
      </c>
      <c r="X195" s="33">
        <f t="shared" si="18"/>
        <v>10.256410256410255</v>
      </c>
      <c r="Y195">
        <v>5</v>
      </c>
      <c r="Z195">
        <f t="shared" si="19"/>
        <v>4</v>
      </c>
      <c r="AA195" s="33">
        <f t="shared" si="20"/>
        <v>10.256410256410255</v>
      </c>
      <c r="AB195">
        <v>5</v>
      </c>
      <c r="AC195">
        <f t="shared" si="21"/>
        <v>4</v>
      </c>
      <c r="AD195" s="33">
        <f t="shared" si="22"/>
        <v>10.256410256410255</v>
      </c>
      <c r="AE195">
        <v>5</v>
      </c>
      <c r="AF195">
        <f t="shared" si="23"/>
        <v>4</v>
      </c>
      <c r="AG195" s="33">
        <f t="shared" si="24"/>
        <v>10.256410256410255</v>
      </c>
      <c r="AH195">
        <v>5</v>
      </c>
      <c r="AI195">
        <f t="shared" si="25"/>
        <v>4</v>
      </c>
      <c r="AJ195" s="33">
        <f t="shared" si="26"/>
        <v>10.256410256410255</v>
      </c>
      <c r="AK195">
        <v>5</v>
      </c>
      <c r="AL195">
        <f t="shared" si="27"/>
        <v>4</v>
      </c>
      <c r="AM195" s="33">
        <f t="shared" si="28"/>
        <v>10.256410256410255</v>
      </c>
    </row>
    <row r="196" spans="3:39" x14ac:dyDescent="0.3">
      <c r="K196" t="s">
        <v>32</v>
      </c>
      <c r="M196">
        <v>9</v>
      </c>
      <c r="N196">
        <f t="shared" si="11"/>
        <v>3</v>
      </c>
      <c r="O196" s="33">
        <f t="shared" si="12"/>
        <v>7.6923076923076925</v>
      </c>
      <c r="P196">
        <v>9</v>
      </c>
      <c r="Q196">
        <f t="shared" si="13"/>
        <v>3</v>
      </c>
      <c r="R196" s="33">
        <f t="shared" si="14"/>
        <v>7.6923076923076925</v>
      </c>
      <c r="S196">
        <v>9</v>
      </c>
      <c r="T196">
        <f t="shared" si="15"/>
        <v>3</v>
      </c>
      <c r="U196" s="33">
        <f t="shared" si="16"/>
        <v>7.6923076923076925</v>
      </c>
      <c r="V196">
        <v>9</v>
      </c>
      <c r="W196">
        <f t="shared" si="17"/>
        <v>3</v>
      </c>
      <c r="X196" s="33">
        <f t="shared" si="18"/>
        <v>7.6923076923076925</v>
      </c>
      <c r="Y196">
        <v>9</v>
      </c>
      <c r="Z196">
        <f t="shared" si="19"/>
        <v>3</v>
      </c>
      <c r="AA196" s="33">
        <f t="shared" si="20"/>
        <v>7.6923076923076925</v>
      </c>
      <c r="AB196">
        <v>9</v>
      </c>
      <c r="AC196">
        <f t="shared" si="21"/>
        <v>3</v>
      </c>
      <c r="AD196" s="33">
        <f t="shared" si="22"/>
        <v>7.6923076923076925</v>
      </c>
      <c r="AE196">
        <v>9</v>
      </c>
      <c r="AF196">
        <f t="shared" si="23"/>
        <v>3</v>
      </c>
      <c r="AG196" s="33">
        <f t="shared" si="24"/>
        <v>7.6923076923076925</v>
      </c>
      <c r="AH196">
        <v>9</v>
      </c>
      <c r="AI196">
        <f t="shared" si="25"/>
        <v>3</v>
      </c>
      <c r="AJ196" s="33">
        <f t="shared" si="26"/>
        <v>7.6923076923076925</v>
      </c>
      <c r="AK196">
        <v>9</v>
      </c>
      <c r="AL196">
        <f t="shared" si="27"/>
        <v>3</v>
      </c>
      <c r="AM196" s="33">
        <f t="shared" si="28"/>
        <v>7.6923076923076925</v>
      </c>
    </row>
    <row r="197" spans="3:39" x14ac:dyDescent="0.3">
      <c r="K197" t="s">
        <v>278</v>
      </c>
      <c r="M197">
        <v>14</v>
      </c>
      <c r="N197">
        <f t="shared" si="11"/>
        <v>-1</v>
      </c>
      <c r="O197" s="33">
        <f t="shared" si="12"/>
        <v>-2.5641025641025639</v>
      </c>
      <c r="P197">
        <v>14</v>
      </c>
      <c r="Q197">
        <f t="shared" si="13"/>
        <v>-1</v>
      </c>
      <c r="R197" s="33">
        <f t="shared" si="14"/>
        <v>-2.5641025641025639</v>
      </c>
      <c r="S197">
        <v>14</v>
      </c>
      <c r="T197">
        <f t="shared" si="15"/>
        <v>-1</v>
      </c>
      <c r="U197" s="33">
        <f t="shared" si="16"/>
        <v>-2.5641025641025639</v>
      </c>
      <c r="V197">
        <v>14</v>
      </c>
      <c r="W197">
        <f t="shared" si="17"/>
        <v>-1</v>
      </c>
      <c r="X197" s="33">
        <f t="shared" si="18"/>
        <v>-2.5641025641025639</v>
      </c>
      <c r="Y197">
        <v>14</v>
      </c>
      <c r="Z197">
        <f t="shared" si="19"/>
        <v>-1</v>
      </c>
      <c r="AA197" s="33">
        <f t="shared" si="20"/>
        <v>-2.5641025641025639</v>
      </c>
      <c r="AB197">
        <v>14</v>
      </c>
      <c r="AC197">
        <f t="shared" si="21"/>
        <v>-1</v>
      </c>
      <c r="AD197" s="33">
        <f t="shared" si="22"/>
        <v>-2.5641025641025639</v>
      </c>
      <c r="AE197">
        <v>14</v>
      </c>
      <c r="AF197">
        <f t="shared" si="23"/>
        <v>-1</v>
      </c>
      <c r="AG197" s="33">
        <f t="shared" si="24"/>
        <v>-2.5641025641025639</v>
      </c>
      <c r="AH197">
        <v>14</v>
      </c>
      <c r="AI197">
        <f t="shared" si="25"/>
        <v>-1</v>
      </c>
      <c r="AJ197" s="33">
        <f t="shared" si="26"/>
        <v>-2.5641025641025639</v>
      </c>
      <c r="AK197">
        <v>14</v>
      </c>
      <c r="AL197">
        <f t="shared" si="27"/>
        <v>-1</v>
      </c>
      <c r="AM197" s="33">
        <f t="shared" si="28"/>
        <v>-2.5641025641025639</v>
      </c>
    </row>
    <row r="198" spans="3:39" x14ac:dyDescent="0.3">
      <c r="K198" t="s">
        <v>306</v>
      </c>
      <c r="M198">
        <v>11</v>
      </c>
      <c r="N198">
        <f t="shared" si="11"/>
        <v>-16</v>
      </c>
      <c r="O198" s="33">
        <f t="shared" si="12"/>
        <v>-41.025641025641022</v>
      </c>
      <c r="P198">
        <v>11</v>
      </c>
      <c r="Q198">
        <f t="shared" si="13"/>
        <v>-16</v>
      </c>
      <c r="R198" s="33">
        <f t="shared" si="14"/>
        <v>-41.025641025641022</v>
      </c>
      <c r="S198">
        <v>11</v>
      </c>
      <c r="T198">
        <f t="shared" si="15"/>
        <v>-16</v>
      </c>
      <c r="U198" s="33">
        <f t="shared" si="16"/>
        <v>-41.025641025641022</v>
      </c>
      <c r="V198">
        <v>11</v>
      </c>
      <c r="W198">
        <f t="shared" si="17"/>
        <v>-16</v>
      </c>
      <c r="X198" s="33">
        <f t="shared" si="18"/>
        <v>-41.025641025641022</v>
      </c>
      <c r="Y198">
        <v>11</v>
      </c>
      <c r="Z198">
        <f t="shared" si="19"/>
        <v>-16</v>
      </c>
      <c r="AA198" s="33">
        <f t="shared" si="20"/>
        <v>-41.025641025641022</v>
      </c>
      <c r="AB198">
        <v>11</v>
      </c>
      <c r="AC198">
        <f t="shared" si="21"/>
        <v>-16</v>
      </c>
      <c r="AD198" s="33">
        <f t="shared" si="22"/>
        <v>-41.025641025641022</v>
      </c>
      <c r="AE198">
        <v>11</v>
      </c>
      <c r="AF198">
        <f t="shared" si="23"/>
        <v>-16</v>
      </c>
      <c r="AG198" s="33">
        <f t="shared" si="24"/>
        <v>-41.025641025641022</v>
      </c>
      <c r="AH198">
        <v>11</v>
      </c>
      <c r="AI198">
        <f t="shared" si="25"/>
        <v>-16</v>
      </c>
      <c r="AJ198" s="33">
        <f t="shared" si="26"/>
        <v>-41.025641025641022</v>
      </c>
      <c r="AK198">
        <v>11</v>
      </c>
      <c r="AL198">
        <f t="shared" si="27"/>
        <v>-16</v>
      </c>
      <c r="AM198" s="33">
        <f t="shared" si="28"/>
        <v>-41.025641025641022</v>
      </c>
    </row>
    <row r="199" spans="3:39" x14ac:dyDescent="0.3">
      <c r="K199" t="s">
        <v>301</v>
      </c>
      <c r="N199">
        <v>1</v>
      </c>
      <c r="O199">
        <f>1/N199</f>
        <v>1</v>
      </c>
      <c r="Q199">
        <v>2</v>
      </c>
      <c r="R199">
        <f>1/Q199</f>
        <v>0.5</v>
      </c>
      <c r="T199">
        <v>2</v>
      </c>
      <c r="U199">
        <f>1/T199</f>
        <v>0.5</v>
      </c>
      <c r="W199">
        <v>2</v>
      </c>
      <c r="X199">
        <f>1/W199</f>
        <v>0.5</v>
      </c>
      <c r="Z199">
        <v>2</v>
      </c>
      <c r="AA199">
        <f>1/Z199</f>
        <v>0.5</v>
      </c>
      <c r="AC199">
        <v>1</v>
      </c>
      <c r="AD199">
        <f>1/AC199</f>
        <v>1</v>
      </c>
      <c r="AF199">
        <v>1</v>
      </c>
      <c r="AG199">
        <f>1/AF199</f>
        <v>1</v>
      </c>
      <c r="AI199">
        <v>1</v>
      </c>
      <c r="AJ199">
        <f>1/AI199</f>
        <v>1</v>
      </c>
      <c r="AL199">
        <v>2</v>
      </c>
      <c r="AM199">
        <f>1/AL199</f>
        <v>0.5</v>
      </c>
    </row>
    <row r="200" spans="3:39" x14ac:dyDescent="0.3">
      <c r="K200" t="s">
        <v>302</v>
      </c>
      <c r="N200">
        <v>2</v>
      </c>
      <c r="O200">
        <f>N200</f>
        <v>2</v>
      </c>
      <c r="Q200">
        <v>2</v>
      </c>
      <c r="R200">
        <f>Q200</f>
        <v>2</v>
      </c>
      <c r="T200">
        <v>1</v>
      </c>
      <c r="U200">
        <f>T200</f>
        <v>1</v>
      </c>
      <c r="W200">
        <v>1</v>
      </c>
      <c r="X200">
        <f>W200</f>
        <v>1</v>
      </c>
      <c r="Z200">
        <v>2</v>
      </c>
      <c r="AA200">
        <f>Z200</f>
        <v>2</v>
      </c>
      <c r="AC200">
        <v>2</v>
      </c>
      <c r="AD200">
        <f>AC200</f>
        <v>2</v>
      </c>
      <c r="AF200">
        <v>2</v>
      </c>
      <c r="AG200">
        <f>AF200</f>
        <v>2</v>
      </c>
      <c r="AI200">
        <v>1</v>
      </c>
      <c r="AJ200">
        <f>AI200</f>
        <v>1</v>
      </c>
      <c r="AL200">
        <v>1</v>
      </c>
      <c r="AM200">
        <f>AL200</f>
        <v>1</v>
      </c>
    </row>
    <row r="201" spans="3:39" x14ac:dyDescent="0.3">
      <c r="K201" t="s">
        <v>307</v>
      </c>
      <c r="N201">
        <f>ABS(N198)+ABS(N197)+ABS(N196)+ABS(N195)+ABS(N194)+ABS(N193)+ABS(N192)+ABS(N191)</f>
        <v>39</v>
      </c>
      <c r="O201">
        <f>N201/10</f>
        <v>3.9</v>
      </c>
      <c r="Q201">
        <f>ABS(Q198)+ABS(Q197)+ABS(Q196)+ABS(Q195)+ABS(Q194)+ABS(Q193)+ABS(Q192)+ABS(Q191)</f>
        <v>39</v>
      </c>
      <c r="R201">
        <f>Q201/10*$L$180/P180/100</f>
        <v>0.69147000000000003</v>
      </c>
      <c r="T201">
        <f>ABS(T198)+ABS(T197)+ABS(T196)+ABS(T195)+ABS(T194)+ABS(T193)+ABS(T192)+ABS(T191)</f>
        <v>39</v>
      </c>
      <c r="U201">
        <f>T201/10*$L$180/S180/100</f>
        <v>0.34573500000000001</v>
      </c>
      <c r="W201">
        <f>ABS(W198)+ABS(W197)+ABS(W196)+ABS(W195)+ABS(W194)+ABS(W193)+ABS(W192)+ABS(W191)</f>
        <v>39</v>
      </c>
      <c r="X201">
        <f>W201/10*$L$180/V180/100</f>
        <v>0.34573500000000001</v>
      </c>
      <c r="Z201">
        <f>ABS(Z198)+ABS(Z197)+ABS(Z196)+ABS(Z195)+ABS(Z194)+ABS(Z193)+ABS(Z192)+ABS(Z191)</f>
        <v>39</v>
      </c>
      <c r="AA201">
        <f>0.94*$L$180/Y180/100</f>
        <v>8.3331000000000002E-2</v>
      </c>
      <c r="AC201">
        <f>ABS(AC198)+ABS(AC197)+ABS(AC196)+ABS(AC195)+ABS(AC194)+ABS(AC193)+ABS(AC192)+ABS(AC191)</f>
        <v>39</v>
      </c>
      <c r="AD201">
        <f>2.56*$L$180/AB180/100</f>
        <v>0.3003394540942928</v>
      </c>
      <c r="AF201">
        <f>ABS(AF198)+ABS(AF197)+ABS(AF196)+ABS(AF195)+ABS(AF194)+ABS(AF193)+ABS(AF192)+ABS(AF191)</f>
        <v>39</v>
      </c>
      <c r="AG201">
        <f>0.35*$L$180/AE180/100</f>
        <v>2.5908877407233445E-2</v>
      </c>
      <c r="AI201">
        <f>ABS(AI198)+ABS(AI197)+ABS(AI196)+ABS(AI195)+ABS(AI194)+ABS(AI193)+ABS(AI192)+ABS(AI191)</f>
        <v>39</v>
      </c>
      <c r="AJ201">
        <f>2.32*$L$180/AH180/100</f>
        <v>1.170230440967283</v>
      </c>
      <c r="AL201">
        <f>ABS(AL198)+ABS(AL197)+ABS(AL196)+ABS(AL195)+ABS(AL194)+ABS(AL193)+ABS(AL192)+ABS(AL191)</f>
        <v>39</v>
      </c>
      <c r="AM201">
        <f>3.28*$L$180/AK180/100</f>
        <v>0.40288824420870312</v>
      </c>
    </row>
    <row r="202" spans="3:39" x14ac:dyDescent="0.3">
      <c r="K202" t="s">
        <v>308</v>
      </c>
      <c r="O202" s="33">
        <f>N190/$L$179*O190</f>
        <v>3.0818481072637236</v>
      </c>
      <c r="R202" s="33">
        <f>Q190/$L$179*R190</f>
        <v>0.47190799142475764</v>
      </c>
      <c r="U202" s="33">
        <f>T190/$L$179*U190</f>
        <v>1.8876319656990308E-2</v>
      </c>
      <c r="X202" s="33">
        <f>W190/$L$179*X190</f>
        <v>29.133095388977384</v>
      </c>
      <c r="AA202" s="33">
        <f>Z190/$L$179*AA190</f>
        <v>3.8700404317678874E-3</v>
      </c>
      <c r="AD202" s="33">
        <f>AC190/$L$179*AD190</f>
        <v>5.5636182575762998</v>
      </c>
      <c r="AG202" s="33">
        <f>AF190/$L$179*AG190</f>
        <v>0.83427190544267882</v>
      </c>
      <c r="AJ202" s="33">
        <f>AI190/$L$179*AJ190</f>
        <v>5.7057849324529779E-2</v>
      </c>
      <c r="AM202" s="33">
        <f>AL190/$L$179*AM190</f>
        <v>0.22768470408358094</v>
      </c>
    </row>
    <row r="203" spans="3:39" x14ac:dyDescent="0.3">
      <c r="O203" s="33">
        <f>SUM(O199:O202)</f>
        <v>9.9818481072637244</v>
      </c>
      <c r="R203" s="33">
        <f>SUM(R199:R202)*0.1</f>
        <v>0.36633779914247577</v>
      </c>
      <c r="U203" s="33">
        <f>SUM(U199:U202)</f>
        <v>1.8646113196569902</v>
      </c>
      <c r="X203" s="33">
        <f>SUM(X199:X202)</f>
        <v>30.978830388977386</v>
      </c>
      <c r="AA203" s="33">
        <f>(1+AA200)*AA199+AA201+AA202</f>
        <v>1.587201040431768</v>
      </c>
      <c r="AB203" s="33"/>
      <c r="AC203" s="33"/>
      <c r="AD203" s="33">
        <f t="shared" ref="AD203:AM203" si="29">(1+AD200)*AD199+AD201+AD202</f>
        <v>8.8639577116705937</v>
      </c>
      <c r="AE203" s="33"/>
      <c r="AF203" s="33"/>
      <c r="AG203" s="33">
        <f t="shared" si="29"/>
        <v>3.8601807828499122</v>
      </c>
      <c r="AH203" s="33"/>
      <c r="AI203" s="33"/>
      <c r="AJ203" s="33">
        <f t="shared" si="29"/>
        <v>3.227288290291813</v>
      </c>
      <c r="AK203" s="33"/>
      <c r="AL203" s="33"/>
      <c r="AM203" s="33">
        <f t="shared" si="29"/>
        <v>1.6305729482922842</v>
      </c>
    </row>
    <row r="204" spans="3:39" x14ac:dyDescent="0.3">
      <c r="O204" t="s">
        <v>309</v>
      </c>
      <c r="R204" t="s">
        <v>311</v>
      </c>
      <c r="U204" t="s">
        <v>310</v>
      </c>
      <c r="X204" t="s">
        <v>309</v>
      </c>
      <c r="AA204" t="s">
        <v>311</v>
      </c>
      <c r="AD204" t="s">
        <v>309</v>
      </c>
      <c r="AG204" t="s">
        <v>310</v>
      </c>
      <c r="AJ204" t="s">
        <v>310</v>
      </c>
      <c r="AM204" t="s">
        <v>311</v>
      </c>
    </row>
    <row r="206" spans="3:39" x14ac:dyDescent="0.3">
      <c r="C206">
        <v>2010</v>
      </c>
      <c r="D206">
        <v>2011</v>
      </c>
      <c r="E206">
        <v>2012</v>
      </c>
      <c r="F206">
        <v>2013</v>
      </c>
      <c r="G206">
        <v>2014</v>
      </c>
      <c r="H206">
        <v>2015</v>
      </c>
      <c r="I206">
        <v>2016</v>
      </c>
      <c r="J206">
        <v>2017</v>
      </c>
      <c r="K206">
        <v>2018</v>
      </c>
      <c r="L206">
        <v>2019</v>
      </c>
      <c r="M206">
        <v>2020</v>
      </c>
      <c r="N206">
        <v>2021</v>
      </c>
      <c r="O206">
        <v>2022</v>
      </c>
      <c r="P206">
        <v>2023</v>
      </c>
      <c r="Q206">
        <v>2024</v>
      </c>
      <c r="R206">
        <v>2025</v>
      </c>
    </row>
    <row r="207" spans="3:39" x14ac:dyDescent="0.3">
      <c r="C207">
        <f t="shared" ref="C207:R207" si="30">C208/1000</f>
        <v>4879.5659999999998</v>
      </c>
      <c r="D207">
        <f t="shared" si="30"/>
        <v>4899.3440000000001</v>
      </c>
      <c r="E207">
        <f t="shared" si="30"/>
        <v>4953.2190000000001</v>
      </c>
      <c r="F207">
        <f t="shared" si="30"/>
        <v>5028</v>
      </c>
      <c r="G207">
        <f t="shared" si="30"/>
        <v>5131.942</v>
      </c>
      <c r="H207">
        <f t="shared" si="30"/>
        <v>5191.6899999999996</v>
      </c>
      <c r="I207">
        <f t="shared" si="30"/>
        <v>5225.6899999999996</v>
      </c>
      <c r="J207">
        <f t="shared" si="30"/>
        <v>5281.5789999999997</v>
      </c>
      <c r="K207">
        <f t="shared" si="30"/>
        <v>5351.9350000000004</v>
      </c>
      <c r="L207">
        <f t="shared" si="30"/>
        <v>5383.89</v>
      </c>
      <c r="M207">
        <f t="shared" si="30"/>
        <v>5398.0640000000003</v>
      </c>
      <c r="N207">
        <f t="shared" si="30"/>
        <v>5601.9110000000001</v>
      </c>
      <c r="O207">
        <f t="shared" si="30"/>
        <v>5607.9160000000002</v>
      </c>
      <c r="P207">
        <f t="shared" si="30"/>
        <v>5600.0439999999999</v>
      </c>
      <c r="Q207">
        <f t="shared" si="30"/>
        <v>5597.7629999999999</v>
      </c>
      <c r="R207">
        <f t="shared" si="30"/>
        <v>5652.9219999999996</v>
      </c>
    </row>
    <row r="208" spans="3:39" x14ac:dyDescent="0.3">
      <c r="C208">
        <v>4879566</v>
      </c>
      <c r="D208">
        <v>4899344</v>
      </c>
      <c r="E208">
        <v>4953219</v>
      </c>
      <c r="F208">
        <v>5028000</v>
      </c>
      <c r="G208">
        <v>5131942</v>
      </c>
      <c r="H208">
        <v>5191690</v>
      </c>
      <c r="I208">
        <v>5225690</v>
      </c>
      <c r="J208">
        <v>5281579</v>
      </c>
      <c r="K208">
        <v>5351935</v>
      </c>
      <c r="L208">
        <v>5383890</v>
      </c>
      <c r="M208">
        <v>5398064</v>
      </c>
      <c r="N208">
        <v>5601911</v>
      </c>
      <c r="O208">
        <v>5607916</v>
      </c>
      <c r="P208">
        <v>5600044</v>
      </c>
      <c r="Q208">
        <v>5597763</v>
      </c>
      <c r="R208">
        <v>5652922</v>
      </c>
      <c r="AA208">
        <v>1</v>
      </c>
      <c r="AB208">
        <v>1</v>
      </c>
      <c r="AC208">
        <v>1</v>
      </c>
      <c r="AD208">
        <v>1</v>
      </c>
      <c r="AF208">
        <v>79897</v>
      </c>
      <c r="AG208">
        <v>90000</v>
      </c>
      <c r="AH208">
        <f>((AG208-AF208)^2)/$AG$209/AF208/20*1000</f>
        <v>1.1299708620293373E-2</v>
      </c>
      <c r="AJ208">
        <v>0.41</v>
      </c>
      <c r="AK208">
        <v>220279</v>
      </c>
      <c r="AL208">
        <f>AK208/$AK$209*AJ208</f>
        <v>0.62318879680934003</v>
      </c>
      <c r="AM208">
        <f>AL208+0.5+0.01</f>
        <v>1.1331887968093401</v>
      </c>
    </row>
    <row r="209" spans="12:39" x14ac:dyDescent="0.3">
      <c r="AA209">
        <v>3</v>
      </c>
      <c r="AB209">
        <v>2</v>
      </c>
      <c r="AC209">
        <v>1</v>
      </c>
      <c r="AD209">
        <v>0</v>
      </c>
      <c r="AG209">
        <v>5652922</v>
      </c>
      <c r="AK209">
        <v>144923</v>
      </c>
      <c r="AL209">
        <f t="shared" ref="AL209" si="31">AK209/$AK$209*AJ209*10</f>
        <v>0</v>
      </c>
    </row>
    <row r="210" spans="12:39" x14ac:dyDescent="0.3">
      <c r="L210">
        <f>10000/L179</f>
        <v>1.9261550670398272E-3</v>
      </c>
      <c r="AA210">
        <f>(AA209+1)/AA208</f>
        <v>4</v>
      </c>
      <c r="AB210">
        <f>(AB209+1)/AB208</f>
        <v>3</v>
      </c>
      <c r="AC210">
        <f>(AC209+1)/AC208</f>
        <v>2</v>
      </c>
      <c r="AD210">
        <f>(AD209+1)/AD208</f>
        <v>1</v>
      </c>
      <c r="AF210">
        <v>68000</v>
      </c>
      <c r="AG210">
        <v>70000</v>
      </c>
      <c r="AH210">
        <f t="shared" ref="AH210:AH220" si="32">((AG210-AF210)^2)/$AG$209/AF210/20*1000</f>
        <v>5.2029312815358769E-4</v>
      </c>
      <c r="AJ210">
        <v>2.15</v>
      </c>
      <c r="AK210">
        <v>6147.8</v>
      </c>
      <c r="AL210">
        <f>AK210/$AK$209*AJ210*10</f>
        <v>0.91205467731139978</v>
      </c>
    </row>
    <row r="211" spans="12:39" x14ac:dyDescent="0.3">
      <c r="AF211">
        <v>29000</v>
      </c>
      <c r="AG211">
        <v>36400</v>
      </c>
      <c r="AH211">
        <f t="shared" si="32"/>
        <v>1.670176823657717E-2</v>
      </c>
      <c r="AJ211">
        <v>0.19</v>
      </c>
      <c r="AK211">
        <v>13767.69</v>
      </c>
      <c r="AL211">
        <f>AK211/$AK$209*AJ211</f>
        <v>1.8050006555205177E-2</v>
      </c>
    </row>
    <row r="212" spans="12:39" x14ac:dyDescent="0.3">
      <c r="AA212">
        <v>2</v>
      </c>
      <c r="AB212">
        <v>2</v>
      </c>
      <c r="AC212">
        <v>2</v>
      </c>
      <c r="AD212">
        <v>2</v>
      </c>
      <c r="AF212">
        <v>19768</v>
      </c>
      <c r="AG212">
        <v>24500</v>
      </c>
      <c r="AH212">
        <f>((AG212-AF212)^2)/$AG$209/AF212*100</f>
        <v>2.0037971126913991E-2</v>
      </c>
      <c r="AJ212">
        <v>0.98</v>
      </c>
      <c r="AK212">
        <v>40500</v>
      </c>
      <c r="AL212">
        <f>AK212/$AK$209*AJ212</f>
        <v>0.27386957211760726</v>
      </c>
    </row>
    <row r="213" spans="12:39" x14ac:dyDescent="0.3">
      <c r="AA213">
        <v>3</v>
      </c>
      <c r="AB213">
        <v>2</v>
      </c>
      <c r="AC213">
        <v>1</v>
      </c>
      <c r="AD213">
        <v>0</v>
      </c>
      <c r="AF213">
        <v>18000</v>
      </c>
      <c r="AG213">
        <v>25100</v>
      </c>
      <c r="AH213">
        <f>((AG213-AF213)^2)/$AG$209/AF213/20*1000</f>
        <v>2.4770866779654448E-2</v>
      </c>
    </row>
    <row r="214" spans="12:39" x14ac:dyDescent="0.3">
      <c r="AA214">
        <f>(AA213+1)/AA212</f>
        <v>2</v>
      </c>
      <c r="AB214">
        <f>(AB213+1)/AB212</f>
        <v>1.5</v>
      </c>
      <c r="AC214">
        <f>(AC213+1)/AC212</f>
        <v>1</v>
      </c>
      <c r="AD214">
        <f>(AD213+1)/AD212</f>
        <v>0.5</v>
      </c>
      <c r="AF214">
        <v>15332</v>
      </c>
      <c r="AG214">
        <v>22000</v>
      </c>
      <c r="AH214">
        <f t="shared" si="32"/>
        <v>2.565011892536094E-2</v>
      </c>
      <c r="AK214">
        <v>197722.57</v>
      </c>
    </row>
    <row r="215" spans="12:39" x14ac:dyDescent="0.3">
      <c r="AF215">
        <v>12722</v>
      </c>
      <c r="AG215">
        <v>17500</v>
      </c>
      <c r="AH215">
        <f>((AG215-AF215)^2)/$AG$209/AF215/20*1000</f>
        <v>1.5872082452423598E-2</v>
      </c>
      <c r="AJ215">
        <v>1.28</v>
      </c>
      <c r="AK215">
        <v>48352.2</v>
      </c>
      <c r="AL215">
        <f>AK215/$AK$214*AJ215*10</f>
        <v>3.130184682507414</v>
      </c>
      <c r="AM215">
        <f>AK215/$AK$209*AJ215*10</f>
        <v>4.2705999737791798</v>
      </c>
    </row>
    <row r="216" spans="12:39" x14ac:dyDescent="0.3">
      <c r="AA216">
        <v>3</v>
      </c>
      <c r="AB216">
        <v>3</v>
      </c>
      <c r="AC216">
        <v>3</v>
      </c>
      <c r="AD216">
        <v>3</v>
      </c>
      <c r="AF216">
        <v>10959</v>
      </c>
      <c r="AG216">
        <v>14000</v>
      </c>
      <c r="AH216">
        <f t="shared" si="32"/>
        <v>7.4637816302728774E-3</v>
      </c>
      <c r="AJ216">
        <v>3.43</v>
      </c>
      <c r="AK216">
        <v>598.14</v>
      </c>
      <c r="AL216">
        <f>AK216/$AK$214*AJ216*10</f>
        <v>0.10376256994838778</v>
      </c>
      <c r="AM216">
        <f>AK216/$AK$209*AJ216*10</f>
        <v>0.14156622482283696</v>
      </c>
    </row>
    <row r="217" spans="12:39" x14ac:dyDescent="0.3">
      <c r="AA217">
        <v>3</v>
      </c>
      <c r="AB217">
        <v>2</v>
      </c>
      <c r="AC217">
        <v>1</v>
      </c>
      <c r="AD217">
        <v>0</v>
      </c>
      <c r="AF217">
        <v>66480</v>
      </c>
      <c r="AG217">
        <v>100000</v>
      </c>
      <c r="AH217">
        <f t="shared" si="32"/>
        <v>0.14949064662528272</v>
      </c>
    </row>
    <row r="218" spans="12:39" x14ac:dyDescent="0.3">
      <c r="AA218">
        <f>(AA217+1)/AA216</f>
        <v>1.3333333333333333</v>
      </c>
      <c r="AB218">
        <f>(AB217+1)/AB216</f>
        <v>1</v>
      </c>
      <c r="AC218">
        <f t="shared" ref="AC218:AD218" si="33">(AC217+1)/AC216</f>
        <v>0.66666666666666663</v>
      </c>
      <c r="AD218">
        <f t="shared" si="33"/>
        <v>0.33333333333333331</v>
      </c>
      <c r="AF218">
        <v>20700</v>
      </c>
      <c r="AG218">
        <v>22000</v>
      </c>
      <c r="AH218">
        <f t="shared" si="32"/>
        <v>7.2212664598321605E-4</v>
      </c>
    </row>
    <row r="219" spans="12:39" x14ac:dyDescent="0.3">
      <c r="AF219">
        <v>58802</v>
      </c>
      <c r="AG219">
        <v>72800</v>
      </c>
      <c r="AH219">
        <f t="shared" si="32"/>
        <v>2.947385155827497E-2</v>
      </c>
    </row>
    <row r="220" spans="12:39" x14ac:dyDescent="0.3">
      <c r="AA220">
        <v>4</v>
      </c>
      <c r="AB220">
        <v>4</v>
      </c>
      <c r="AC220">
        <v>4</v>
      </c>
      <c r="AD220">
        <v>4</v>
      </c>
      <c r="AF220">
        <v>10466</v>
      </c>
      <c r="AG220">
        <v>31000</v>
      </c>
      <c r="AH220">
        <f t="shared" si="32"/>
        <v>0.35633903231060643</v>
      </c>
    </row>
    <row r="221" spans="12:39" x14ac:dyDescent="0.3">
      <c r="AA221">
        <v>3</v>
      </c>
      <c r="AB221">
        <v>2</v>
      </c>
      <c r="AC221">
        <v>1</v>
      </c>
      <c r="AD221">
        <v>0</v>
      </c>
    </row>
    <row r="222" spans="12:39" x14ac:dyDescent="0.3">
      <c r="AA222">
        <f>(AA221+1)/AA220</f>
        <v>1</v>
      </c>
      <c r="AB222">
        <f t="shared" ref="AB222:AD222" si="34">(AB221+1)/AB220</f>
        <v>0.75</v>
      </c>
      <c r="AC222">
        <f t="shared" si="34"/>
        <v>0.5</v>
      </c>
      <c r="AD222">
        <f t="shared" si="34"/>
        <v>0.25</v>
      </c>
      <c r="AG222">
        <v>6465752</v>
      </c>
    </row>
    <row r="223" spans="12:39" x14ac:dyDescent="0.3">
      <c r="AF223">
        <v>10466</v>
      </c>
      <c r="AG223">
        <v>31000</v>
      </c>
      <c r="AH223">
        <f>((AG223-AF223)^2)/$AG$222/AF223*100</f>
        <v>0.62308506580745371</v>
      </c>
    </row>
  </sheetData>
  <sortState xmlns:xlrd2="http://schemas.microsoft.com/office/spreadsheetml/2017/richdata2" ref="A7:Q15">
    <sortCondition ref="A7:A15"/>
  </sortState>
  <mergeCells count="10">
    <mergeCell ref="D179:E179"/>
    <mergeCell ref="F179:G179"/>
    <mergeCell ref="H179:I179"/>
    <mergeCell ref="R2:S2"/>
    <mergeCell ref="P2:Q2"/>
    <mergeCell ref="B1:E1"/>
    <mergeCell ref="F2:H2"/>
    <mergeCell ref="I2:J2"/>
    <mergeCell ref="K2:M2"/>
    <mergeCell ref="N2:O2"/>
  </mergeCells>
  <conditionalFormatting sqref="I5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B560-1582-4822-BE0E-A91719E57E09}">
  <dimension ref="A1:JC46"/>
  <sheetViews>
    <sheetView tabSelected="1" topLeftCell="A10" zoomScale="85" zoomScaleNormal="85" workbookViewId="0">
      <pane xSplit="1" topLeftCell="CH1" activePane="topRight" state="frozen"/>
      <selection pane="topRight" activeCell="CO18" sqref="CO18"/>
    </sheetView>
  </sheetViews>
  <sheetFormatPr defaultRowHeight="16.5" x14ac:dyDescent="0.3"/>
  <cols>
    <col min="1" max="1" width="20" customWidth="1"/>
    <col min="2" max="2" width="21.75" customWidth="1"/>
    <col min="3" max="3" width="21.125" customWidth="1"/>
    <col min="4" max="4" width="13.5" customWidth="1"/>
    <col min="5" max="8" width="12.5" customWidth="1"/>
    <col min="9" max="9" width="14.25" customWidth="1"/>
    <col min="10" max="12" width="13.875" customWidth="1"/>
    <col min="13" max="13" width="17" customWidth="1"/>
    <col min="14" max="14" width="12.875" customWidth="1"/>
    <col min="92" max="92" width="8.875" customWidth="1"/>
  </cols>
  <sheetData>
    <row r="1" spans="1:263" x14ac:dyDescent="0.3">
      <c r="D1" s="26"/>
    </row>
    <row r="2" spans="1:263" x14ac:dyDescent="0.3">
      <c r="D2" s="27"/>
    </row>
    <row r="3" spans="1:263" x14ac:dyDescent="0.3">
      <c r="D3" s="26"/>
    </row>
    <row r="4" spans="1:263" x14ac:dyDescent="0.3">
      <c r="D4" s="27"/>
    </row>
    <row r="5" spans="1:263" x14ac:dyDescent="0.3">
      <c r="D5" s="26"/>
    </row>
    <row r="6" spans="1:263" x14ac:dyDescent="0.3">
      <c r="D6" s="26"/>
    </row>
    <row r="7" spans="1:263" x14ac:dyDescent="0.3">
      <c r="D7" s="26"/>
    </row>
    <row r="8" spans="1:263" x14ac:dyDescent="0.3">
      <c r="D8" s="26"/>
    </row>
    <row r="9" spans="1:263" x14ac:dyDescent="0.3">
      <c r="D9" s="27"/>
    </row>
    <row r="13" spans="1:263" s="26" customFormat="1" x14ac:dyDescent="0.3">
      <c r="B13" s="48" t="s">
        <v>187</v>
      </c>
      <c r="C13" s="48"/>
      <c r="D13" s="26" t="s">
        <v>199</v>
      </c>
      <c r="F13" s="26" t="s">
        <v>205</v>
      </c>
      <c r="I13" s="48" t="s">
        <v>68</v>
      </c>
      <c r="J13" s="48"/>
      <c r="M13" s="48" t="s">
        <v>5</v>
      </c>
      <c r="N13" s="48"/>
      <c r="P13" s="26" t="s">
        <v>203</v>
      </c>
      <c r="S13" s="26" t="s">
        <v>211</v>
      </c>
      <c r="V13" s="26" t="s">
        <v>55</v>
      </c>
      <c r="Y13" s="26" t="s">
        <v>238</v>
      </c>
      <c r="AC13" s="26" t="s">
        <v>239</v>
      </c>
      <c r="AG13" s="26" t="s">
        <v>240</v>
      </c>
      <c r="AJ13" s="26" t="s">
        <v>241</v>
      </c>
      <c r="AM13" s="26" t="s">
        <v>242</v>
      </c>
      <c r="AP13" s="26" t="s">
        <v>243</v>
      </c>
      <c r="AS13" s="26" t="s">
        <v>244</v>
      </c>
      <c r="AV13" s="26" t="s">
        <v>249</v>
      </c>
      <c r="AY13" s="26" t="s">
        <v>250</v>
      </c>
      <c r="BA13" s="26" t="s">
        <v>251</v>
      </c>
      <c r="BC13" s="42" t="s">
        <v>330</v>
      </c>
      <c r="BD13" s="42"/>
      <c r="BE13" s="42"/>
      <c r="BG13" s="26" t="s">
        <v>202</v>
      </c>
      <c r="BJ13" s="26" t="s">
        <v>208</v>
      </c>
      <c r="BN13" s="26" t="s">
        <v>209</v>
      </c>
      <c r="BQ13" s="26" t="s">
        <v>210</v>
      </c>
      <c r="BT13" s="26" t="s">
        <v>227</v>
      </c>
      <c r="BV13" s="26" t="s">
        <v>251</v>
      </c>
      <c r="BX13" s="26" t="s">
        <v>6</v>
      </c>
      <c r="BY13" s="26" t="s">
        <v>251</v>
      </c>
      <c r="CC13" s="26" t="s">
        <v>260</v>
      </c>
      <c r="CE13" s="26" t="s">
        <v>251</v>
      </c>
      <c r="CF13" s="26" t="s">
        <v>261</v>
      </c>
      <c r="CH13" s="26" t="s">
        <v>251</v>
      </c>
      <c r="CJ13" s="26" t="s">
        <v>11</v>
      </c>
      <c r="CL13" s="26" t="s">
        <v>246</v>
      </c>
      <c r="CN13" s="26" t="s">
        <v>245</v>
      </c>
      <c r="CO13" s="26" t="s">
        <v>251</v>
      </c>
      <c r="CQ13" s="26" t="s">
        <v>259</v>
      </c>
      <c r="CT13" s="26" t="s">
        <v>213</v>
      </c>
      <c r="CY13" s="26" t="s">
        <v>204</v>
      </c>
      <c r="DA13" s="26" t="s">
        <v>222</v>
      </c>
      <c r="DE13" s="26" t="s">
        <v>223</v>
      </c>
      <c r="DJ13" s="26" t="s">
        <v>228</v>
      </c>
      <c r="DN13" s="26" t="s">
        <v>229</v>
      </c>
      <c r="DQ13" s="26" t="s">
        <v>230</v>
      </c>
      <c r="DT13" s="26" t="s">
        <v>231</v>
      </c>
      <c r="DW13" s="26" t="s">
        <v>232</v>
      </c>
      <c r="DY13" s="26" t="s">
        <v>233</v>
      </c>
      <c r="DZ13" s="26" t="s">
        <v>361</v>
      </c>
      <c r="EB13" s="26" t="s">
        <v>234</v>
      </c>
      <c r="EE13" s="26" t="s">
        <v>235</v>
      </c>
      <c r="EG13" s="26" t="s">
        <v>236</v>
      </c>
      <c r="EH13" s="26" t="s">
        <v>237</v>
      </c>
      <c r="EI13" s="26" t="s">
        <v>315</v>
      </c>
      <c r="EL13" s="26" t="s">
        <v>7</v>
      </c>
      <c r="EO13" s="26" t="s">
        <v>206</v>
      </c>
      <c r="ER13" s="26" t="s">
        <v>224</v>
      </c>
      <c r="EV13" s="26" t="s">
        <v>225</v>
      </c>
      <c r="EZ13" s="26" t="s">
        <v>207</v>
      </c>
      <c r="FB13" s="44" t="s">
        <v>207</v>
      </c>
      <c r="FC13" s="44"/>
      <c r="FD13" s="26" t="s">
        <v>226</v>
      </c>
      <c r="FF13" s="26" t="s">
        <v>248</v>
      </c>
      <c r="FG13" s="26" t="s">
        <v>247</v>
      </c>
      <c r="FJ13" s="41" t="s">
        <v>317</v>
      </c>
      <c r="FK13" s="41"/>
      <c r="FL13" s="44" t="s">
        <v>359</v>
      </c>
      <c r="FM13" s="44"/>
      <c r="FN13" s="46" t="s">
        <v>360</v>
      </c>
      <c r="FO13" s="46"/>
      <c r="FQ13" s="26" t="s">
        <v>220</v>
      </c>
      <c r="FR13" s="26" t="s">
        <v>251</v>
      </c>
      <c r="FT13" s="26" t="s">
        <v>221</v>
      </c>
      <c r="FX13" s="26" t="s">
        <v>258</v>
      </c>
      <c r="FY13" s="38"/>
      <c r="FZ13" s="38" t="s">
        <v>314</v>
      </c>
      <c r="GA13" s="38"/>
      <c r="GB13" s="41" t="s">
        <v>316</v>
      </c>
      <c r="GC13" s="38"/>
      <c r="GD13" s="41" t="s">
        <v>318</v>
      </c>
      <c r="GE13" s="41"/>
      <c r="GF13" s="41" t="s">
        <v>319</v>
      </c>
      <c r="GG13" s="41"/>
      <c r="GH13" s="41" t="s">
        <v>320</v>
      </c>
      <c r="GI13" s="41"/>
      <c r="GJ13" s="41" t="s">
        <v>321</v>
      </c>
      <c r="GL13" s="41" t="s">
        <v>322</v>
      </c>
      <c r="GM13" s="41"/>
      <c r="GN13" s="41" t="s">
        <v>323</v>
      </c>
      <c r="GO13" s="41"/>
      <c r="GQ13" s="26" t="s">
        <v>8</v>
      </c>
      <c r="GT13" s="26" t="s">
        <v>212</v>
      </c>
      <c r="GZ13" s="45" t="s">
        <v>126</v>
      </c>
      <c r="HB13" s="45" t="s">
        <v>127</v>
      </c>
      <c r="HD13" s="45" t="s">
        <v>128</v>
      </c>
      <c r="HF13" s="45" t="s">
        <v>129</v>
      </c>
      <c r="HH13" s="45" t="s">
        <v>130</v>
      </c>
      <c r="HJ13" s="45" t="s">
        <v>131</v>
      </c>
      <c r="HL13" s="45" t="s">
        <v>132</v>
      </c>
      <c r="HN13" s="45" t="s">
        <v>133</v>
      </c>
      <c r="HP13" s="45" t="s">
        <v>134</v>
      </c>
      <c r="HR13" s="45" t="s">
        <v>135</v>
      </c>
      <c r="HT13" s="45" t="s">
        <v>331</v>
      </c>
      <c r="HV13" s="45" t="s">
        <v>137</v>
      </c>
      <c r="HX13" s="45" t="s">
        <v>138</v>
      </c>
      <c r="HZ13" s="45" t="s">
        <v>139</v>
      </c>
      <c r="IB13" s="45" t="s">
        <v>140</v>
      </c>
      <c r="ID13" s="45" t="s">
        <v>141</v>
      </c>
      <c r="IF13" s="45" t="s">
        <v>142</v>
      </c>
      <c r="IH13" s="45" t="s">
        <v>143</v>
      </c>
      <c r="IM13" s="26" t="s">
        <v>350</v>
      </c>
      <c r="IO13" s="26" t="s">
        <v>351</v>
      </c>
      <c r="IP13" s="26" t="s">
        <v>353</v>
      </c>
      <c r="IQ13" s="26" t="s">
        <v>352</v>
      </c>
      <c r="IR13" s="26" t="s">
        <v>353</v>
      </c>
      <c r="IS13" s="26" t="s">
        <v>354</v>
      </c>
      <c r="IU13" s="43" t="s">
        <v>356</v>
      </c>
      <c r="IV13" s="43"/>
      <c r="IW13" s="43" t="s">
        <v>357</v>
      </c>
      <c r="IX13" s="43"/>
      <c r="IY13" s="43" t="s">
        <v>358</v>
      </c>
      <c r="IZ13" s="43"/>
      <c r="JB13" s="26" t="s">
        <v>355</v>
      </c>
    </row>
    <row r="14" spans="1:263" x14ac:dyDescent="0.3">
      <c r="B14">
        <v>2015</v>
      </c>
      <c r="C14">
        <v>2025</v>
      </c>
      <c r="M14">
        <v>2018</v>
      </c>
      <c r="N14">
        <v>2040</v>
      </c>
    </row>
    <row r="15" spans="1:263" s="30" customFormat="1" x14ac:dyDescent="0.3">
      <c r="A15" s="30" t="s">
        <v>194</v>
      </c>
      <c r="B15" s="36">
        <v>5191690</v>
      </c>
      <c r="C15" s="36">
        <v>5652922</v>
      </c>
      <c r="D15" s="30">
        <v>10976</v>
      </c>
      <c r="E15" s="30">
        <v>116575</v>
      </c>
      <c r="F15" s="30">
        <v>11125</v>
      </c>
      <c r="G15" s="30">
        <v>39549</v>
      </c>
      <c r="I15" s="30">
        <v>7380</v>
      </c>
      <c r="J15" s="30">
        <v>34300</v>
      </c>
      <c r="K15" s="30">
        <v>106770</v>
      </c>
      <c r="L15" s="30">
        <v>187984</v>
      </c>
      <c r="M15" s="30">
        <v>66480</v>
      </c>
      <c r="N15" s="30">
        <v>120000</v>
      </c>
      <c r="P15" s="30">
        <v>4922</v>
      </c>
      <c r="Q15" s="30">
        <v>30000</v>
      </c>
      <c r="S15" s="30">
        <v>58802</v>
      </c>
      <c r="T15" s="30">
        <v>71800</v>
      </c>
      <c r="U15" s="30">
        <v>78000</v>
      </c>
      <c r="V15" s="30">
        <v>18159</v>
      </c>
      <c r="W15" s="30">
        <v>23100</v>
      </c>
      <c r="X15" s="30">
        <v>32800</v>
      </c>
      <c r="Y15" s="30">
        <v>10466</v>
      </c>
      <c r="Z15" s="30">
        <v>29700</v>
      </c>
      <c r="AA15" s="30">
        <v>40550</v>
      </c>
      <c r="AB15" s="30">
        <v>35880</v>
      </c>
      <c r="AC15" s="30">
        <v>4780</v>
      </c>
      <c r="AD15" s="30">
        <v>5900</v>
      </c>
      <c r="AE15" s="30">
        <v>5760</v>
      </c>
      <c r="AF15" s="30">
        <v>15230</v>
      </c>
      <c r="AG15" s="30">
        <v>22640</v>
      </c>
      <c r="AH15" s="30">
        <v>40950</v>
      </c>
      <c r="AI15" s="30">
        <v>53260</v>
      </c>
      <c r="AJ15" s="30">
        <v>12356</v>
      </c>
      <c r="AK15" s="30">
        <v>15100</v>
      </c>
      <c r="AL15" s="30">
        <v>37710</v>
      </c>
      <c r="AM15" s="30">
        <v>11724</v>
      </c>
      <c r="AN15" s="30">
        <v>12470</v>
      </c>
      <c r="AO15" s="30">
        <v>21564</v>
      </c>
      <c r="AP15" s="30">
        <v>7500</v>
      </c>
      <c r="AQ15" s="30">
        <v>8000</v>
      </c>
      <c r="AR15" s="30">
        <v>9000</v>
      </c>
      <c r="AS15" s="30">
        <v>14535</v>
      </c>
      <c r="AT15" s="30">
        <v>23287</v>
      </c>
      <c r="AU15" s="30">
        <v>37936</v>
      </c>
      <c r="AV15" s="30">
        <v>9375</v>
      </c>
      <c r="AW15" s="30">
        <v>11760</v>
      </c>
      <c r="AX15" s="30">
        <v>17520</v>
      </c>
      <c r="AY15" s="30">
        <v>7339</v>
      </c>
      <c r="AZ15" s="30">
        <v>11259</v>
      </c>
      <c r="BA15" s="30">
        <v>7339</v>
      </c>
      <c r="BB15" s="30">
        <v>11259</v>
      </c>
      <c r="BC15" s="30">
        <v>0</v>
      </c>
      <c r="BD15" s="30">
        <v>27000</v>
      </c>
      <c r="BG15" s="30">
        <v>12688</v>
      </c>
      <c r="BI15" s="30">
        <v>18000</v>
      </c>
      <c r="BK15" s="30">
        <v>4016</v>
      </c>
      <c r="BL15" s="30">
        <v>6416</v>
      </c>
      <c r="BM15" s="30">
        <v>12000</v>
      </c>
      <c r="BO15" s="30">
        <v>5006</v>
      </c>
      <c r="BP15" s="30">
        <v>10000</v>
      </c>
      <c r="BQ15" s="30">
        <v>14286</v>
      </c>
      <c r="BR15" s="30">
        <v>26781</v>
      </c>
      <c r="BS15" s="30">
        <v>50000</v>
      </c>
      <c r="BT15" s="30">
        <v>20145</v>
      </c>
      <c r="BU15" s="30">
        <v>23528</v>
      </c>
      <c r="BV15" s="30">
        <v>22949</v>
      </c>
      <c r="BW15" s="30">
        <v>29000</v>
      </c>
      <c r="BX15" s="30">
        <v>45598</v>
      </c>
      <c r="CA15" s="30">
        <v>58000</v>
      </c>
      <c r="CC15" s="30">
        <v>4900</v>
      </c>
      <c r="CD15" s="30">
        <v>5100</v>
      </c>
      <c r="CE15" s="30">
        <v>6300</v>
      </c>
      <c r="CG15" s="30">
        <v>3054</v>
      </c>
      <c r="CH15" s="30">
        <v>3700</v>
      </c>
      <c r="CJ15" s="30">
        <v>29000</v>
      </c>
      <c r="CK15" s="30">
        <v>36400</v>
      </c>
      <c r="CL15" s="30">
        <v>18000</v>
      </c>
      <c r="CM15" s="30">
        <v>25100</v>
      </c>
      <c r="CN15" s="30">
        <v>11625</v>
      </c>
      <c r="CO15" s="30">
        <v>14893</v>
      </c>
      <c r="CP15" s="30">
        <v>23536</v>
      </c>
      <c r="CQ15" s="30">
        <v>23908</v>
      </c>
      <c r="CR15" s="30">
        <v>26000</v>
      </c>
      <c r="CS15" s="30">
        <v>32200</v>
      </c>
      <c r="CU15" s="30">
        <v>3720</v>
      </c>
      <c r="CV15" s="30">
        <v>7500</v>
      </c>
      <c r="CY15" s="30">
        <v>7559</v>
      </c>
      <c r="CZ15" s="30">
        <v>30000</v>
      </c>
      <c r="DA15" s="30">
        <v>10380</v>
      </c>
      <c r="DB15" s="30">
        <f>2866/0.044</f>
        <v>65136.36363636364</v>
      </c>
      <c r="DE15" s="30">
        <v>3740</v>
      </c>
      <c r="DF15" s="30">
        <v>57400</v>
      </c>
      <c r="DG15" s="30">
        <v>79850</v>
      </c>
      <c r="DH15" s="30">
        <v>3700</v>
      </c>
      <c r="DI15" s="30">
        <v>69790</v>
      </c>
      <c r="DJ15" s="30">
        <v>10050</v>
      </c>
      <c r="DK15" s="30">
        <v>9476</v>
      </c>
      <c r="DL15" s="30">
        <v>11000</v>
      </c>
      <c r="DM15" s="30">
        <v>15000</v>
      </c>
      <c r="DN15" s="30">
        <v>4040</v>
      </c>
      <c r="DO15" s="30">
        <v>6000</v>
      </c>
      <c r="DP15" s="30">
        <v>35310</v>
      </c>
      <c r="DQ15" s="30">
        <v>2827</v>
      </c>
      <c r="DR15" s="30">
        <v>2886</v>
      </c>
      <c r="DS15" s="30">
        <v>5009</v>
      </c>
      <c r="DT15" s="30">
        <v>5655</v>
      </c>
      <c r="DU15" s="30">
        <v>9460</v>
      </c>
      <c r="DV15" s="30">
        <v>12000</v>
      </c>
      <c r="DW15" s="30">
        <v>4677</v>
      </c>
      <c r="DX15" s="30">
        <v>5194</v>
      </c>
      <c r="EB15" s="30">
        <v>3242</v>
      </c>
      <c r="EC15" s="30">
        <v>3264</v>
      </c>
      <c r="ED15" s="30">
        <v>4670</v>
      </c>
      <c r="EE15" s="30">
        <v>3114</v>
      </c>
      <c r="EF15" s="30">
        <v>6500</v>
      </c>
      <c r="EG15" s="30">
        <v>2974</v>
      </c>
      <c r="EH15" s="30">
        <v>5840</v>
      </c>
      <c r="EI15" s="30">
        <v>2995</v>
      </c>
      <c r="EJ15" s="30">
        <v>8000</v>
      </c>
      <c r="EL15" s="30">
        <v>96334</v>
      </c>
      <c r="EM15" s="30">
        <v>126000</v>
      </c>
      <c r="EP15" s="30">
        <v>7032</v>
      </c>
      <c r="EQ15" s="30">
        <v>29000</v>
      </c>
      <c r="ES15" s="30">
        <v>7187</v>
      </c>
      <c r="ET15" s="30">
        <v>19000</v>
      </c>
      <c r="EV15" s="30">
        <v>6012</v>
      </c>
      <c r="EW15" s="30">
        <v>6572</v>
      </c>
      <c r="EX15" s="30">
        <v>7790</v>
      </c>
      <c r="EY15" s="30">
        <v>38400</v>
      </c>
      <c r="EZ15" s="30">
        <v>5753</v>
      </c>
      <c r="FA15" s="30">
        <v>11000</v>
      </c>
      <c r="FD15" s="30">
        <v>9706</v>
      </c>
      <c r="FE15" s="30">
        <v>14000</v>
      </c>
      <c r="FF15" s="30">
        <v>7500</v>
      </c>
      <c r="FG15" s="30">
        <v>7800</v>
      </c>
      <c r="FH15" s="30">
        <v>8210</v>
      </c>
      <c r="FI15" s="30">
        <v>9583</v>
      </c>
      <c r="FJ15" s="30">
        <v>8237</v>
      </c>
      <c r="FK15" s="30">
        <v>34200</v>
      </c>
      <c r="FL15" s="30">
        <v>14900</v>
      </c>
      <c r="FM15" s="30">
        <v>20000</v>
      </c>
      <c r="FN15" s="30">
        <v>4322</v>
      </c>
      <c r="FO15" s="30">
        <v>7345</v>
      </c>
      <c r="FQ15" s="30">
        <v>10000</v>
      </c>
      <c r="FR15" s="30">
        <v>11840</v>
      </c>
      <c r="FS15" s="30">
        <v>11930</v>
      </c>
      <c r="FT15" s="30">
        <v>20700</v>
      </c>
      <c r="FU15" s="30">
        <v>23800</v>
      </c>
      <c r="FV15" s="30">
        <v>24200</v>
      </c>
      <c r="FX15" s="30">
        <v>15285</v>
      </c>
      <c r="FY15" s="30">
        <v>21500</v>
      </c>
      <c r="FZ15" s="30">
        <v>6301</v>
      </c>
      <c r="GB15" s="30">
        <v>1137</v>
      </c>
      <c r="GC15" s="30">
        <v>5000</v>
      </c>
      <c r="GD15" s="30">
        <v>9856</v>
      </c>
      <c r="GE15" s="30">
        <v>14000</v>
      </c>
      <c r="GF15" s="30">
        <v>5568</v>
      </c>
      <c r="GG15" s="30">
        <v>10500</v>
      </c>
      <c r="GH15" s="30">
        <v>14097</v>
      </c>
      <c r="GI15" s="30">
        <v>19500</v>
      </c>
      <c r="GJ15" s="30">
        <v>13800</v>
      </c>
      <c r="GK15" s="30">
        <v>21500</v>
      </c>
      <c r="GL15" s="30">
        <v>1706</v>
      </c>
      <c r="GM15" s="30">
        <v>5000</v>
      </c>
      <c r="GN15" s="30">
        <v>9392</v>
      </c>
      <c r="GO15" s="30">
        <v>14500</v>
      </c>
      <c r="GQ15" s="30">
        <v>68000</v>
      </c>
      <c r="GR15" s="30">
        <v>70000</v>
      </c>
      <c r="GU15" s="30">
        <v>18000</v>
      </c>
      <c r="GZ15" s="30">
        <v>161900</v>
      </c>
      <c r="HA15" s="30">
        <v>165600</v>
      </c>
      <c r="HB15" s="30">
        <v>208700</v>
      </c>
      <c r="HC15" s="30">
        <v>267000</v>
      </c>
      <c r="HD15" s="30">
        <v>518700</v>
      </c>
      <c r="HE15" s="30">
        <v>621300</v>
      </c>
      <c r="HF15" s="30">
        <v>533600</v>
      </c>
      <c r="HG15" s="30">
        <v>426200</v>
      </c>
      <c r="HH15" s="30">
        <v>336200</v>
      </c>
      <c r="HI15" s="30">
        <v>300100</v>
      </c>
      <c r="HJ15" s="30">
        <v>191800</v>
      </c>
      <c r="HK15" s="30">
        <v>203900</v>
      </c>
      <c r="HL15" s="30">
        <v>357500</v>
      </c>
      <c r="HM15" s="30">
        <v>399400</v>
      </c>
      <c r="HN15" s="30">
        <v>397600</v>
      </c>
      <c r="HO15" s="30">
        <v>463800</v>
      </c>
      <c r="HP15" s="30">
        <v>44300</v>
      </c>
      <c r="HQ15" s="30">
        <v>32800</v>
      </c>
      <c r="HR15" s="30">
        <v>78100</v>
      </c>
      <c r="HS15" s="30">
        <v>209500</v>
      </c>
      <c r="HT15" s="30">
        <v>354500</v>
      </c>
      <c r="HU15" s="30">
        <v>473000</v>
      </c>
      <c r="HV15" s="30">
        <v>527900</v>
      </c>
      <c r="HW15" s="30">
        <v>516600</v>
      </c>
      <c r="HX15" s="30">
        <v>131400</v>
      </c>
      <c r="HY15" s="30">
        <v>179700</v>
      </c>
      <c r="HZ15" s="30">
        <v>143200</v>
      </c>
      <c r="IA15" s="30">
        <v>216200</v>
      </c>
      <c r="IB15" s="30">
        <v>568500</v>
      </c>
      <c r="IC15" s="30">
        <v>767800</v>
      </c>
      <c r="ID15" s="30">
        <v>218000</v>
      </c>
      <c r="IE15" s="30">
        <v>749600</v>
      </c>
      <c r="IF15" s="30">
        <v>395000</v>
      </c>
      <c r="IG15" s="30">
        <v>320600</v>
      </c>
      <c r="IH15" s="30">
        <v>216900</v>
      </c>
      <c r="II15" s="30">
        <v>233500</v>
      </c>
      <c r="IM15" s="30">
        <v>5126</v>
      </c>
      <c r="IN15" s="30">
        <v>8574</v>
      </c>
      <c r="IO15" s="30">
        <v>1338</v>
      </c>
      <c r="IP15" s="30">
        <v>10578</v>
      </c>
      <c r="IQ15" s="30">
        <v>2105</v>
      </c>
      <c r="IR15" s="30">
        <v>5592</v>
      </c>
      <c r="IS15" s="30">
        <v>2455</v>
      </c>
      <c r="IT15" s="30">
        <v>2634</v>
      </c>
      <c r="IU15" s="30">
        <v>1885</v>
      </c>
      <c r="IV15" s="30">
        <v>2023</v>
      </c>
      <c r="IW15" s="30">
        <v>2537</v>
      </c>
      <c r="IX15" s="30">
        <v>2550</v>
      </c>
      <c r="IY15" s="30">
        <v>37539</v>
      </c>
      <c r="IZ15" s="30">
        <v>45000</v>
      </c>
      <c r="JB15" s="30">
        <v>2600</v>
      </c>
      <c r="JC15" s="30">
        <v>2700</v>
      </c>
    </row>
    <row r="16" spans="1:263" x14ac:dyDescent="0.3">
      <c r="A16" t="s">
        <v>195</v>
      </c>
      <c r="B16" s="32">
        <v>141840</v>
      </c>
      <c r="C16" s="32">
        <v>144923.24</v>
      </c>
      <c r="D16">
        <v>1981</v>
      </c>
      <c r="F16">
        <v>7319.37</v>
      </c>
      <c r="G16">
        <v>7319.37</v>
      </c>
      <c r="H16">
        <v>7319.37</v>
      </c>
      <c r="I16">
        <v>2484.16</v>
      </c>
      <c r="J16">
        <v>2875.32</v>
      </c>
      <c r="K16">
        <v>4285.22</v>
      </c>
      <c r="L16">
        <v>5034.95</v>
      </c>
      <c r="M16">
        <v>19288.8</v>
      </c>
      <c r="N16">
        <v>19160.8</v>
      </c>
      <c r="P16">
        <v>15789.7</v>
      </c>
      <c r="Q16">
        <v>15789.7</v>
      </c>
      <c r="R16">
        <v>2875</v>
      </c>
      <c r="S16">
        <v>2812.2</v>
      </c>
      <c r="T16">
        <v>2812.3</v>
      </c>
      <c r="U16">
        <v>2812.3</v>
      </c>
      <c r="V16">
        <v>11547.5</v>
      </c>
      <c r="W16">
        <v>11547.5</v>
      </c>
      <c r="X16" s="33">
        <v>949.1</v>
      </c>
      <c r="Y16" s="33">
        <v>598.14</v>
      </c>
      <c r="Z16" s="33">
        <v>598.14</v>
      </c>
      <c r="AA16" s="33">
        <v>598.14</v>
      </c>
      <c r="AB16" s="33">
        <v>595.37</v>
      </c>
      <c r="AC16" s="33">
        <v>8671.26</v>
      </c>
      <c r="AD16" s="33">
        <v>8671.26</v>
      </c>
      <c r="AE16" s="33">
        <v>8670.81</v>
      </c>
      <c r="AF16" s="33">
        <v>8670.81</v>
      </c>
      <c r="AG16" s="33">
        <v>6852.62</v>
      </c>
      <c r="AH16" s="33">
        <v>6852.62</v>
      </c>
      <c r="AI16" s="33">
        <v>6852.62</v>
      </c>
      <c r="AJ16" s="33">
        <v>20814.22</v>
      </c>
      <c r="AK16" s="33">
        <v>20814.22</v>
      </c>
      <c r="AL16" s="33">
        <v>20814.22</v>
      </c>
      <c r="AM16" s="33">
        <v>2352.9</v>
      </c>
      <c r="AN16" s="33">
        <v>2352.9</v>
      </c>
      <c r="AO16" s="33">
        <v>2352.9</v>
      </c>
      <c r="AP16" s="33">
        <v>17945.7</v>
      </c>
      <c r="AQ16" s="33">
        <v>17945.7</v>
      </c>
      <c r="AR16" s="33">
        <v>17945.7</v>
      </c>
      <c r="AS16" s="33">
        <v>22027.9</v>
      </c>
      <c r="AT16" s="33">
        <v>22027.9</v>
      </c>
      <c r="AU16" s="33">
        <v>22027.9</v>
      </c>
      <c r="AV16" s="33">
        <v>16573.150000000001</v>
      </c>
      <c r="AW16" s="33">
        <v>16573.150000000001</v>
      </c>
      <c r="AX16" s="33">
        <v>16573.150000000001</v>
      </c>
      <c r="AY16" s="33">
        <f>18286.16-12284.72</f>
        <v>6001.4400000000005</v>
      </c>
      <c r="AZ16" s="33">
        <f>18286.16-12284.72</f>
        <v>6001.4400000000005</v>
      </c>
      <c r="BA16" s="33">
        <f>18284.89-12219</f>
        <v>6065.8899999999994</v>
      </c>
      <c r="BB16" s="33">
        <f>18284.89-11843.31</f>
        <v>6441.58</v>
      </c>
      <c r="BC16" s="33">
        <v>0</v>
      </c>
      <c r="BD16" s="33">
        <v>7450</v>
      </c>
      <c r="BE16" s="33"/>
      <c r="BG16">
        <v>3079.69</v>
      </c>
      <c r="BH16">
        <v>3206.29</v>
      </c>
      <c r="BI16">
        <v>3206.29</v>
      </c>
      <c r="BJ16">
        <v>5305.2</v>
      </c>
      <c r="BK16">
        <v>5305.2</v>
      </c>
      <c r="BL16">
        <v>5305.2</v>
      </c>
      <c r="BM16">
        <v>5305.2</v>
      </c>
      <c r="BO16">
        <v>8239.6</v>
      </c>
      <c r="BP16">
        <v>8239.6</v>
      </c>
      <c r="BQ16">
        <v>569.59540000000004</v>
      </c>
      <c r="BR16">
        <v>824.75580000000002</v>
      </c>
      <c r="BS16">
        <v>824.75580000000002</v>
      </c>
      <c r="BT16">
        <f>13813.6-10852.4</f>
        <v>2961.2000000000007</v>
      </c>
      <c r="BU16">
        <f>13813.6-10546.7</f>
        <v>3266.8999999999996</v>
      </c>
      <c r="BV16">
        <f>13813.6-10848.3</f>
        <v>2965.3000000000011</v>
      </c>
      <c r="BW16">
        <f>13813.6-10826.2</f>
        <v>2987.3999999999996</v>
      </c>
      <c r="BX16">
        <v>48352.2</v>
      </c>
      <c r="BY16">
        <v>48352.2</v>
      </c>
      <c r="BZ16">
        <f>48335.6-37805.5</f>
        <v>10530.099999999999</v>
      </c>
      <c r="CA16">
        <f>48335.6-37805.5</f>
        <v>10530.099999999999</v>
      </c>
      <c r="CC16">
        <f>12672.5-9644.9</f>
        <v>3027.6000000000004</v>
      </c>
      <c r="CD16">
        <f>12672.5-9337.6</f>
        <v>3334.8999999999996</v>
      </c>
      <c r="CE16">
        <f>12672.5-9337.6</f>
        <v>3334.8999999999996</v>
      </c>
      <c r="CF16">
        <f>13903.59-11129</f>
        <v>2774.59</v>
      </c>
      <c r="CG16">
        <f>13709.44-10870.31</f>
        <v>2839.130000000001</v>
      </c>
      <c r="CH16">
        <f>13709.44-10872.37</f>
        <v>2837.0699999999997</v>
      </c>
      <c r="CJ16">
        <v>9572.2000000000007</v>
      </c>
      <c r="CK16">
        <v>9572.2000000000007</v>
      </c>
      <c r="CL16">
        <v>4374.6000000000004</v>
      </c>
      <c r="CM16">
        <v>4374.6000000000004</v>
      </c>
      <c r="CN16">
        <v>75249.89</v>
      </c>
      <c r="CO16">
        <v>75249.89</v>
      </c>
      <c r="CP16">
        <v>75249.89</v>
      </c>
      <c r="CQ16">
        <v>7771.5</v>
      </c>
      <c r="CR16">
        <v>7771.5</v>
      </c>
      <c r="CS16">
        <v>7771.5</v>
      </c>
      <c r="CT16">
        <v>3464</v>
      </c>
      <c r="CU16">
        <v>3464</v>
      </c>
      <c r="CV16">
        <v>3464</v>
      </c>
      <c r="CY16">
        <v>6147.8</v>
      </c>
      <c r="CZ16">
        <v>6147.8</v>
      </c>
      <c r="DA16">
        <v>12089.88</v>
      </c>
      <c r="DB16">
        <v>12089.88</v>
      </c>
      <c r="DC16">
        <v>12089.88</v>
      </c>
      <c r="DD16">
        <v>12089.88</v>
      </c>
      <c r="DE16">
        <v>2232.92</v>
      </c>
      <c r="DF16">
        <v>2232.92</v>
      </c>
      <c r="DG16">
        <v>2232.92</v>
      </c>
      <c r="DH16">
        <v>2225.5100000000002</v>
      </c>
      <c r="DI16">
        <v>2225.5100000000002</v>
      </c>
      <c r="DJ16">
        <v>3305</v>
      </c>
      <c r="DK16">
        <v>3305</v>
      </c>
      <c r="DL16">
        <v>3305</v>
      </c>
      <c r="DM16">
        <v>3294.46</v>
      </c>
      <c r="DN16">
        <v>8898</v>
      </c>
      <c r="DO16">
        <v>8898</v>
      </c>
      <c r="DP16">
        <v>8898</v>
      </c>
      <c r="DQ16">
        <v>27302.27</v>
      </c>
      <c r="DR16">
        <v>27122.3</v>
      </c>
      <c r="DS16">
        <v>27122.3</v>
      </c>
      <c r="DT16">
        <v>1905.91</v>
      </c>
      <c r="DU16">
        <v>1905.91</v>
      </c>
      <c r="DV16">
        <v>1998.2</v>
      </c>
      <c r="DW16">
        <v>13767.69</v>
      </c>
      <c r="DX16">
        <v>13767.69</v>
      </c>
      <c r="DY16">
        <f>65216.2-26872.3-33589.2</f>
        <v>4754.6999999999971</v>
      </c>
      <c r="DZ16">
        <f t="shared" ref="DZ16:EA16" si="0">65216.2-26872.3-33589.2</f>
        <v>4754.6999999999971</v>
      </c>
      <c r="EA16">
        <f t="shared" si="0"/>
        <v>4754.6999999999971</v>
      </c>
      <c r="EB16">
        <v>8186.62</v>
      </c>
      <c r="EC16">
        <v>7988</v>
      </c>
      <c r="ED16">
        <v>7988</v>
      </c>
      <c r="EE16">
        <v>6328.45</v>
      </c>
      <c r="EF16">
        <v>6328.45</v>
      </c>
      <c r="EG16">
        <v>27054.17</v>
      </c>
      <c r="EH16">
        <v>27054.17</v>
      </c>
      <c r="EI16">
        <v>1845</v>
      </c>
      <c r="EL16">
        <v>3140</v>
      </c>
      <c r="EM16">
        <v>3152.3</v>
      </c>
      <c r="EN16">
        <v>3130.8</v>
      </c>
      <c r="EO16">
        <v>696.7</v>
      </c>
      <c r="EP16">
        <v>1092</v>
      </c>
      <c r="EQ16">
        <v>1092</v>
      </c>
      <c r="ER16">
        <v>5013.46</v>
      </c>
      <c r="ES16">
        <v>5013.46</v>
      </c>
      <c r="ET16">
        <v>5013.46</v>
      </c>
      <c r="EU16">
        <v>5009.67</v>
      </c>
      <c r="EV16">
        <v>1111.71</v>
      </c>
      <c r="EW16">
        <v>1348.2</v>
      </c>
      <c r="EX16">
        <v>1348.2</v>
      </c>
      <c r="EY16">
        <v>1759.23</v>
      </c>
      <c r="EZ16">
        <v>1353.25</v>
      </c>
      <c r="FA16">
        <v>1353.25</v>
      </c>
      <c r="FB16">
        <v>1349.7</v>
      </c>
      <c r="FC16">
        <v>1349.7</v>
      </c>
      <c r="FD16">
        <v>14732.2</v>
      </c>
      <c r="FE16">
        <v>14732.2</v>
      </c>
      <c r="FF16" s="33">
        <f>28106.1-21573.9</f>
        <v>6532.1999999999971</v>
      </c>
      <c r="FG16" s="33">
        <f>28106.1-21573.9</f>
        <v>6532.1999999999971</v>
      </c>
      <c r="FH16" s="33">
        <f>28106.1-21480.3</f>
        <v>6625.7999999999993</v>
      </c>
      <c r="FI16" s="33">
        <f>28171.42-21218.85</f>
        <v>6952.57</v>
      </c>
      <c r="FJ16" s="33">
        <v>4559.7</v>
      </c>
      <c r="FK16" s="33">
        <v>4559.7</v>
      </c>
      <c r="FL16">
        <v>2614.9</v>
      </c>
      <c r="FM16">
        <v>2614.9</v>
      </c>
      <c r="FN16" s="33">
        <v>308</v>
      </c>
      <c r="FO16" s="33">
        <v>498.79</v>
      </c>
      <c r="FQ16">
        <f>57905.58-58905.58+1312.95+111.5+354.31+27.64</f>
        <v>806.4</v>
      </c>
      <c r="FR16">
        <f>1340.39+138.15+373.45+108.65</f>
        <v>1960.6400000000003</v>
      </c>
      <c r="FS16">
        <f>1340.39+138.15+373.45+108.65</f>
        <v>1960.6400000000003</v>
      </c>
      <c r="FT16">
        <f>40500-40500+1945.33</f>
        <v>1945.33</v>
      </c>
      <c r="FU16">
        <v>2025.09</v>
      </c>
      <c r="FV16">
        <v>2025.09</v>
      </c>
      <c r="FX16">
        <v>108957.32</v>
      </c>
      <c r="GB16">
        <v>23200</v>
      </c>
      <c r="GD16">
        <v>91430</v>
      </c>
      <c r="GF16">
        <v>41642.1</v>
      </c>
      <c r="GH16">
        <v>75390</v>
      </c>
      <c r="GJ16">
        <v>69662.5</v>
      </c>
      <c r="GL16">
        <v>29000</v>
      </c>
      <c r="GN16">
        <v>33986</v>
      </c>
      <c r="GQ16">
        <v>8841.52</v>
      </c>
      <c r="GR16">
        <v>8841.52</v>
      </c>
      <c r="GT16">
        <v>2151.9</v>
      </c>
      <c r="GU16">
        <v>2117.6999999999998</v>
      </c>
      <c r="GZ16" s="45" t="s">
        <v>332</v>
      </c>
      <c r="HB16" s="45" t="s">
        <v>333</v>
      </c>
      <c r="HD16" s="45" t="s">
        <v>334</v>
      </c>
      <c r="HF16" s="45" t="s">
        <v>335</v>
      </c>
      <c r="HH16" s="45" t="s">
        <v>336</v>
      </c>
      <c r="HJ16" s="45" t="s">
        <v>337</v>
      </c>
      <c r="HL16" s="45" t="s">
        <v>338</v>
      </c>
      <c r="HN16" s="45" t="s">
        <v>339</v>
      </c>
      <c r="HP16" s="45" t="s">
        <v>340</v>
      </c>
      <c r="HR16" s="45" t="s">
        <v>341</v>
      </c>
      <c r="HT16" s="45" t="s">
        <v>342</v>
      </c>
      <c r="HV16" s="45" t="s">
        <v>343</v>
      </c>
      <c r="HX16" s="45" t="s">
        <v>344</v>
      </c>
      <c r="HZ16" s="45" t="s">
        <v>345</v>
      </c>
      <c r="IB16" s="45" t="s">
        <v>346</v>
      </c>
      <c r="ID16" s="45" t="s">
        <v>347</v>
      </c>
      <c r="IF16" s="45" t="s">
        <v>348</v>
      </c>
      <c r="IH16" s="45" t="s">
        <v>349</v>
      </c>
      <c r="IM16">
        <v>52051.6</v>
      </c>
      <c r="IO16">
        <v>109696.4</v>
      </c>
      <c r="IQ16">
        <v>36679.1</v>
      </c>
      <c r="IS16">
        <v>52485.84</v>
      </c>
      <c r="IT16">
        <v>52485.84</v>
      </c>
      <c r="IU16">
        <v>40347.360000000001</v>
      </c>
      <c r="IV16">
        <v>40347.360000000001</v>
      </c>
      <c r="IW16">
        <v>14725.2</v>
      </c>
      <c r="IX16">
        <v>14725.2</v>
      </c>
      <c r="IY16">
        <v>10938.14</v>
      </c>
      <c r="IZ16">
        <v>10969.68</v>
      </c>
      <c r="JB16">
        <f>105940.5-63551.4</f>
        <v>42389.1</v>
      </c>
      <c r="JC16">
        <f>105940.5-63551.4</f>
        <v>42389.1</v>
      </c>
    </row>
    <row r="17" spans="1:263" s="30" customFormat="1" x14ac:dyDescent="0.3">
      <c r="A17" s="30" t="s">
        <v>196</v>
      </c>
      <c r="B17" s="30" t="s">
        <v>198</v>
      </c>
      <c r="C17" s="37" t="s">
        <v>191</v>
      </c>
      <c r="E17" s="30" t="s">
        <v>200</v>
      </c>
      <c r="F17" s="30">
        <v>2012</v>
      </c>
      <c r="G17" s="30">
        <v>2018</v>
      </c>
      <c r="H17" s="30">
        <v>2032</v>
      </c>
      <c r="I17" s="30">
        <v>2017</v>
      </c>
      <c r="J17" s="30">
        <v>2020</v>
      </c>
      <c r="K17" s="30">
        <v>2035</v>
      </c>
      <c r="L17" s="30">
        <v>2040</v>
      </c>
      <c r="M17" s="30">
        <v>2018</v>
      </c>
      <c r="N17" s="30" t="s">
        <v>201</v>
      </c>
      <c r="P17" s="30">
        <v>2020</v>
      </c>
      <c r="Q17" s="30">
        <v>2040</v>
      </c>
      <c r="R17" s="30">
        <v>2015</v>
      </c>
      <c r="S17" s="30">
        <v>2022</v>
      </c>
      <c r="T17" s="30">
        <v>2032</v>
      </c>
      <c r="U17" s="30">
        <v>2043</v>
      </c>
      <c r="V17" s="30">
        <v>2017</v>
      </c>
      <c r="W17" s="30">
        <v>2025</v>
      </c>
      <c r="X17" s="30">
        <v>2035</v>
      </c>
      <c r="Y17">
        <v>2012</v>
      </c>
      <c r="Z17">
        <v>2020</v>
      </c>
      <c r="AA17">
        <v>2035</v>
      </c>
      <c r="AB17" s="30">
        <v>2045</v>
      </c>
      <c r="AC17" s="30">
        <v>2018</v>
      </c>
      <c r="AD17" s="30">
        <v>2039</v>
      </c>
      <c r="AE17" s="30">
        <v>2023</v>
      </c>
      <c r="AF17" s="30">
        <v>2042</v>
      </c>
      <c r="AG17" s="30">
        <v>2016</v>
      </c>
      <c r="AH17" s="30">
        <v>2020</v>
      </c>
      <c r="AI17" s="30">
        <v>2035</v>
      </c>
      <c r="AJ17" s="30">
        <v>2013</v>
      </c>
      <c r="AK17" s="30">
        <v>2020</v>
      </c>
      <c r="AL17" s="30">
        <v>2030</v>
      </c>
      <c r="AM17" s="30">
        <v>2013</v>
      </c>
      <c r="AN17" s="30">
        <v>2018</v>
      </c>
      <c r="AO17" s="30">
        <v>2033</v>
      </c>
      <c r="AP17" s="30">
        <v>2016</v>
      </c>
      <c r="AQ17" s="30">
        <v>2020</v>
      </c>
      <c r="AR17" s="30">
        <v>2030</v>
      </c>
      <c r="AS17" s="30">
        <v>2009</v>
      </c>
      <c r="AT17" s="30">
        <v>2020</v>
      </c>
      <c r="AU17" s="30">
        <v>2030</v>
      </c>
      <c r="AV17" s="30">
        <v>2014</v>
      </c>
      <c r="AW17" s="30">
        <v>2020</v>
      </c>
      <c r="AX17" s="30">
        <v>2035</v>
      </c>
      <c r="AY17" s="30">
        <v>2011</v>
      </c>
      <c r="AZ17" s="30">
        <v>2021</v>
      </c>
      <c r="BA17" s="30">
        <v>2011</v>
      </c>
      <c r="BB17" s="30">
        <v>2021</v>
      </c>
      <c r="BC17" s="30">
        <v>0</v>
      </c>
      <c r="BG17" s="30">
        <v>2018</v>
      </c>
      <c r="BH17" s="30">
        <v>2027</v>
      </c>
      <c r="BI17" s="30">
        <v>2037</v>
      </c>
      <c r="BJ17" s="30">
        <v>2008</v>
      </c>
      <c r="BK17" s="30">
        <v>2015</v>
      </c>
      <c r="BL17" s="30">
        <v>2025</v>
      </c>
      <c r="BM17" s="30">
        <v>2035</v>
      </c>
      <c r="BO17" s="30">
        <v>2020</v>
      </c>
      <c r="BP17" s="30">
        <v>2030</v>
      </c>
      <c r="BQ17" s="30">
        <v>2016</v>
      </c>
      <c r="BR17" s="30">
        <v>2027</v>
      </c>
      <c r="BS17" s="30">
        <v>2037</v>
      </c>
      <c r="BT17" s="30">
        <v>2010</v>
      </c>
      <c r="BU17" s="30">
        <v>2020</v>
      </c>
      <c r="BV17" s="30">
        <v>2022</v>
      </c>
      <c r="BW17" s="30">
        <v>2045</v>
      </c>
      <c r="BX17" s="30">
        <v>2010</v>
      </c>
      <c r="BY17" s="30">
        <v>2020</v>
      </c>
      <c r="BZ17" s="30">
        <v>2020</v>
      </c>
      <c r="CA17" s="30">
        <v>2045</v>
      </c>
      <c r="CC17" s="30">
        <v>2013</v>
      </c>
      <c r="CD17" s="30">
        <v>2021</v>
      </c>
      <c r="CE17" s="30">
        <v>2031</v>
      </c>
      <c r="CF17" s="30">
        <v>2014</v>
      </c>
      <c r="CG17" s="30">
        <v>2020</v>
      </c>
      <c r="CH17" s="30">
        <v>2041</v>
      </c>
      <c r="CJ17" s="30">
        <v>2025</v>
      </c>
      <c r="CK17" s="30">
        <v>2035</v>
      </c>
      <c r="CL17" s="30">
        <v>2022</v>
      </c>
      <c r="CM17" s="30">
        <v>2032</v>
      </c>
      <c r="CN17" s="30">
        <v>2011</v>
      </c>
      <c r="CO17" s="30">
        <v>2020</v>
      </c>
      <c r="CP17" s="30">
        <v>2035</v>
      </c>
      <c r="CQ17" s="30">
        <v>2035</v>
      </c>
      <c r="CR17" s="30">
        <v>2014</v>
      </c>
      <c r="CS17" s="30">
        <v>2020</v>
      </c>
      <c r="CT17" s="30">
        <v>2030</v>
      </c>
      <c r="CU17" s="30">
        <v>2010</v>
      </c>
      <c r="CV17" s="30">
        <v>2020</v>
      </c>
      <c r="CW17" s="30">
        <v>2030</v>
      </c>
      <c r="CY17" s="30">
        <v>2018</v>
      </c>
      <c r="CZ17" s="30">
        <v>2040</v>
      </c>
      <c r="DA17" s="30">
        <v>2024</v>
      </c>
      <c r="DB17" s="30">
        <v>2044</v>
      </c>
      <c r="DC17" s="30">
        <v>2020</v>
      </c>
      <c r="DD17" s="30">
        <v>2035</v>
      </c>
      <c r="DE17" s="30">
        <v>2014</v>
      </c>
      <c r="DF17" s="30">
        <v>2020</v>
      </c>
      <c r="DG17" s="30">
        <v>2030</v>
      </c>
      <c r="DH17" s="30">
        <v>2024</v>
      </c>
      <c r="DI17" s="30">
        <v>2034</v>
      </c>
      <c r="DJ17" s="30">
        <v>2010</v>
      </c>
      <c r="DK17" s="30">
        <v>2020</v>
      </c>
      <c r="DL17" s="30">
        <v>2030</v>
      </c>
      <c r="DM17" s="30">
        <v>2040</v>
      </c>
      <c r="DN17" s="30">
        <v>2009</v>
      </c>
      <c r="DO17" s="30">
        <v>2015</v>
      </c>
      <c r="DP17" s="30">
        <v>2025</v>
      </c>
      <c r="DQ17" s="30">
        <v>2016</v>
      </c>
      <c r="DR17" s="30">
        <v>2020</v>
      </c>
      <c r="DS17" s="30">
        <v>2030</v>
      </c>
      <c r="DT17" s="30">
        <v>2014</v>
      </c>
      <c r="DU17" s="30">
        <v>2025</v>
      </c>
      <c r="DV17" s="30">
        <v>2040</v>
      </c>
      <c r="DW17" s="30">
        <v>2023</v>
      </c>
      <c r="DX17" s="30">
        <v>2032</v>
      </c>
      <c r="DY17" s="30">
        <v>2015</v>
      </c>
      <c r="DZ17" s="30">
        <v>2025</v>
      </c>
      <c r="EA17" s="30">
        <v>2035</v>
      </c>
      <c r="EB17" s="30">
        <v>2014</v>
      </c>
      <c r="EC17" s="30">
        <v>2018</v>
      </c>
      <c r="ED17" s="30">
        <v>2025</v>
      </c>
      <c r="EE17" s="30">
        <v>2017</v>
      </c>
      <c r="EF17" s="30">
        <v>2030</v>
      </c>
      <c r="EG17" s="30">
        <v>2017</v>
      </c>
      <c r="EH17" s="30">
        <v>2030</v>
      </c>
      <c r="EL17" s="30">
        <v>2008</v>
      </c>
      <c r="EM17" s="30">
        <v>2014</v>
      </c>
      <c r="EN17" s="30">
        <v>2035</v>
      </c>
      <c r="EO17" s="30">
        <v>2009</v>
      </c>
      <c r="EP17" s="30">
        <v>2020</v>
      </c>
      <c r="EQ17" s="30">
        <v>2030</v>
      </c>
      <c r="ER17" s="30">
        <v>2018</v>
      </c>
      <c r="ES17" s="30">
        <v>2025</v>
      </c>
      <c r="ET17" s="30">
        <v>2035</v>
      </c>
      <c r="EU17" s="30">
        <v>2045</v>
      </c>
      <c r="EW17" s="30">
        <v>2015</v>
      </c>
      <c r="EX17" s="30">
        <v>2020</v>
      </c>
      <c r="EY17" s="30">
        <v>2024</v>
      </c>
      <c r="EZ17" s="30">
        <v>2019</v>
      </c>
      <c r="FA17" s="30">
        <v>2045</v>
      </c>
      <c r="FB17" s="30">
        <v>2025</v>
      </c>
      <c r="FC17" s="30">
        <v>2035</v>
      </c>
      <c r="FD17" s="30">
        <v>2017</v>
      </c>
      <c r="FE17" s="30">
        <v>2034</v>
      </c>
      <c r="FF17" s="30">
        <v>2011</v>
      </c>
      <c r="FG17" s="30">
        <v>2020</v>
      </c>
      <c r="FH17" s="30">
        <v>2035</v>
      </c>
      <c r="FI17" s="30">
        <v>2045</v>
      </c>
      <c r="FJ17" s="30">
        <v>2018</v>
      </c>
      <c r="FK17" s="30">
        <v>2030</v>
      </c>
      <c r="FL17" s="30">
        <v>2012</v>
      </c>
      <c r="FM17" s="30">
        <v>2035</v>
      </c>
      <c r="FN17" s="30">
        <v>2015</v>
      </c>
      <c r="FO17" s="30">
        <v>2025</v>
      </c>
      <c r="FQ17" s="30">
        <v>2020</v>
      </c>
      <c r="FR17" s="30">
        <v>2032</v>
      </c>
      <c r="FS17" s="30">
        <v>2042</v>
      </c>
      <c r="FT17" s="30">
        <v>2014</v>
      </c>
      <c r="FU17" s="30">
        <v>2025</v>
      </c>
      <c r="FV17" s="30">
        <v>2035</v>
      </c>
      <c r="GQ17" s="30">
        <v>2017</v>
      </c>
      <c r="GR17" s="30">
        <v>2030</v>
      </c>
      <c r="GU17" s="30">
        <v>2012</v>
      </c>
      <c r="GV17" s="30">
        <v>2032</v>
      </c>
      <c r="IM17" s="30">
        <v>2011</v>
      </c>
      <c r="IN17" s="30">
        <v>2035</v>
      </c>
      <c r="IO17" s="30">
        <v>2011</v>
      </c>
      <c r="IP17" s="30">
        <v>2035</v>
      </c>
      <c r="IQ17" s="30">
        <v>2011</v>
      </c>
      <c r="IR17" s="30">
        <v>2035</v>
      </c>
      <c r="IS17" s="30">
        <v>2021</v>
      </c>
      <c r="IT17" s="30">
        <v>2041</v>
      </c>
      <c r="IU17" s="30">
        <v>2023</v>
      </c>
      <c r="IV17" s="30">
        <v>2044</v>
      </c>
      <c r="IW17" s="30">
        <v>2013</v>
      </c>
      <c r="IX17" s="30">
        <v>2023</v>
      </c>
      <c r="IY17" s="30">
        <v>2025</v>
      </c>
      <c r="IZ17" s="30">
        <v>2045</v>
      </c>
      <c r="JB17" s="30">
        <v>2015</v>
      </c>
      <c r="JC17" s="30">
        <v>2025</v>
      </c>
    </row>
    <row r="18" spans="1:263" s="33" customFormat="1" x14ac:dyDescent="0.3">
      <c r="A18" s="34" t="s">
        <v>186</v>
      </c>
      <c r="B18" s="33">
        <v>29</v>
      </c>
      <c r="C18" s="33">
        <v>29.38</v>
      </c>
      <c r="D18" s="33">
        <v>31.7</v>
      </c>
      <c r="E18" s="33">
        <v>13.2</v>
      </c>
      <c r="F18" s="33">
        <v>0.8</v>
      </c>
      <c r="G18" s="33">
        <v>1</v>
      </c>
      <c r="H18" s="33">
        <v>4.5</v>
      </c>
      <c r="I18" s="33">
        <v>0</v>
      </c>
      <c r="J18" s="33">
        <v>1.59</v>
      </c>
      <c r="K18" s="33">
        <v>2.86</v>
      </c>
      <c r="L18" s="33">
        <f>(2.02+11.08+34.73+0.81+18.48+0.8+10.25+3.34+4.33+0.96)/L$16*100</f>
        <v>1.723949592349477</v>
      </c>
      <c r="M18" s="33">
        <v>7.9</v>
      </c>
      <c r="N18" s="33">
        <v>6.5</v>
      </c>
      <c r="P18" s="33">
        <v>27.4</v>
      </c>
      <c r="Q18" s="33">
        <v>55.9</v>
      </c>
      <c r="R18" s="33">
        <f>131.3/R16*100</f>
        <v>4.5669565217391312</v>
      </c>
      <c r="S18" s="33">
        <v>4.59</v>
      </c>
      <c r="T18" s="33">
        <v>3.52</v>
      </c>
      <c r="U18" s="33">
        <v>2.67</v>
      </c>
      <c r="V18" s="33">
        <v>6.65</v>
      </c>
      <c r="W18" s="33">
        <f>6.69+1.49+5.5</f>
        <v>13.68</v>
      </c>
      <c r="X18" s="33">
        <f>(67+141.1+585.7)/6027*52.5</f>
        <v>6.9146341463414638</v>
      </c>
      <c r="Y18" s="33">
        <f>(7.63)/Y$16*100</f>
        <v>1.2756210920520281</v>
      </c>
      <c r="Z18" s="33">
        <f>(39.07)/Z$16*100</f>
        <v>6.5319156050422977</v>
      </c>
      <c r="AA18" s="33">
        <f>(45.04)/AA$16*100</f>
        <v>7.5300096967265198</v>
      </c>
      <c r="AB18" s="33">
        <f>(57.75)/AB$16*100</f>
        <v>9.6998505131262913</v>
      </c>
      <c r="AC18" s="33">
        <f>(19.77)/AC$16*100</f>
        <v>0.22799454750520687</v>
      </c>
      <c r="AD18" s="33">
        <f>(61.32+9.97)/AD$16*100</f>
        <v>0.8221411882471521</v>
      </c>
      <c r="AE18" s="33">
        <f>(20.35+0.09+0.17+0.16+0.29+0.04)/AE$16*100</f>
        <v>0.24334520073672475</v>
      </c>
      <c r="AF18" s="33">
        <f>(6.06+0.29+2.74+0.16+2.27+0.09+27.11+3.22)/AF$16*100</f>
        <v>0.48369183501887364</v>
      </c>
      <c r="AG18" s="33">
        <v>1.22</v>
      </c>
      <c r="AH18" s="33">
        <v>1.85</v>
      </c>
      <c r="AI18" s="33">
        <v>1.96</v>
      </c>
      <c r="AJ18" s="33">
        <v>0.14000000000000001</v>
      </c>
      <c r="AK18" s="33">
        <v>0.54</v>
      </c>
      <c r="AL18" s="33">
        <v>1.33</v>
      </c>
      <c r="AM18" s="33">
        <f>(0)/AM$16*100</f>
        <v>0</v>
      </c>
      <c r="AN18" s="33">
        <f>(201.8+0.8+8.7)/AN$16*100</f>
        <v>8.9804071571252511</v>
      </c>
      <c r="AO18" s="33">
        <f>(201.8+0.8+8.7)/AO$16*100</f>
        <v>8.9804071571252511</v>
      </c>
      <c r="AP18" s="33">
        <f>(481.3)/AP$16*100</f>
        <v>2.6819795271290614</v>
      </c>
      <c r="AQ18" s="33">
        <f>(831.6)/AQ$16*100</f>
        <v>4.6339791704976676</v>
      </c>
      <c r="AR18" s="33">
        <f>(805.5)/AR$16*100</f>
        <v>4.488540430298066</v>
      </c>
      <c r="AS18" s="33">
        <v>0.3</v>
      </c>
      <c r="AT18" s="33">
        <v>0.42</v>
      </c>
      <c r="AU18" s="33">
        <v>4.49</v>
      </c>
      <c r="AV18" s="33">
        <v>0.28000000000000003</v>
      </c>
      <c r="AW18" s="33">
        <v>3.29</v>
      </c>
      <c r="AX18" s="33">
        <v>3.95</v>
      </c>
      <c r="AY18" s="33">
        <f>(45.2)/AY$16*100</f>
        <v>0.75315257671492175</v>
      </c>
      <c r="AZ18" s="33">
        <f>(41.9)/AZ$16*100</f>
        <v>0.69816577354768183</v>
      </c>
      <c r="BA18" s="33">
        <f>12*18284.89/$BA$16</f>
        <v>36.17254516649659</v>
      </c>
      <c r="BB18" s="33">
        <f>13.45*18284.89/$BB$16</f>
        <v>38.17879627358505</v>
      </c>
      <c r="BC18" s="33">
        <v>0</v>
      </c>
      <c r="BG18" s="33">
        <f>ROUND(726.52/BG16,3)*100</f>
        <v>23.599999999999998</v>
      </c>
      <c r="BH18" s="33">
        <f>ROUND(545.14/BH16,3)*100</f>
        <v>17</v>
      </c>
      <c r="BI18" s="33">
        <f>ROUND(246.18/BI16,3)*100</f>
        <v>7.7</v>
      </c>
      <c r="BJ18" s="33">
        <f>0/BJ16*100</f>
        <v>0</v>
      </c>
      <c r="BK18" s="33">
        <f>55.8/BK16*100</f>
        <v>1.051798235693282</v>
      </c>
      <c r="BL18" s="33">
        <f>116.7/BL16*100</f>
        <v>2.1997285681972403</v>
      </c>
      <c r="BM18" s="33">
        <f>116.7/BM16*100</f>
        <v>2.1997285681972403</v>
      </c>
      <c r="BO18" s="33">
        <f>(48.9)/BO16*100</f>
        <v>0.59347541142773919</v>
      </c>
      <c r="BP18" s="33">
        <f>(323.6)/BP16*100</f>
        <v>3.9273751152968592</v>
      </c>
      <c r="BQ18" s="33">
        <f>(55.1757)/BQ16*100</f>
        <v>9.6868233135309723</v>
      </c>
      <c r="BR18" s="33">
        <f>(81.4597)/BR16*100</f>
        <v>9.8768265709680367</v>
      </c>
      <c r="BS18" s="33">
        <f>(81.4597)/BS16*100</f>
        <v>9.8768265709680367</v>
      </c>
      <c r="BT18" s="33">
        <f>(5.3)/BT$16*100</f>
        <v>0.17898149398892335</v>
      </c>
      <c r="BU18" s="33">
        <f>(99.1)/BU$16*100</f>
        <v>3.0334567939024764</v>
      </c>
      <c r="BV18" s="33">
        <f>4.7/BV16*100</f>
        <v>0.15849998313829963</v>
      </c>
      <c r="BW18" s="33">
        <f>(130.9+10.6)/BW16*100</f>
        <v>4.7365602195889407</v>
      </c>
      <c r="BX18" s="33">
        <f>1.3*BX16/(BX16-37805.5)</f>
        <v>5.9599552466648351</v>
      </c>
      <c r="BY18" s="33">
        <f>2.3*BX16/(BX16-37805.5)</f>
        <v>10.544536205637783</v>
      </c>
      <c r="BZ18" s="33">
        <f>(245+33.5+78.1)/BZ$16*100</f>
        <v>3.3864825595198531</v>
      </c>
      <c r="CA18" s="33">
        <f>(269.8+64.9+58.1)/CA$16*100</f>
        <v>3.7302589718996035</v>
      </c>
      <c r="CC18" s="33">
        <f>(1.5+0.52+1.1)/CC$16*100</f>
        <v>0.1030519223147047</v>
      </c>
      <c r="CD18" s="33">
        <f>3.12/CD$16*100</f>
        <v>9.355602866652675E-2</v>
      </c>
      <c r="CE18" s="33">
        <f>(20.1+2.2)/CE$16*100</f>
        <v>0.66868571771267515</v>
      </c>
      <c r="CF18" s="33">
        <f>21.32/CF$16*100</f>
        <v>0.76840181792625217</v>
      </c>
      <c r="CG18" s="33">
        <f>(13.7+0.8)/CG$16*100</f>
        <v>0.51071983318833569</v>
      </c>
      <c r="CH18" s="33">
        <f>(10886.87-10872.37)/CH$16*100</f>
        <v>0.51109066748441179</v>
      </c>
      <c r="CJ18" s="33">
        <v>2.83</v>
      </c>
      <c r="CK18" s="33">
        <v>2.71</v>
      </c>
      <c r="CL18" s="33">
        <v>5.89</v>
      </c>
      <c r="CM18" s="33">
        <v>5.89</v>
      </c>
      <c r="CN18" s="33">
        <f>0.51*CN16/(CN16-60916.39)</f>
        <v>2.6774649527331076</v>
      </c>
      <c r="CO18" s="33">
        <f>4.93*CN16/(CN16-59712.41)</f>
        <v>23.876584729312608</v>
      </c>
      <c r="CP18" s="33">
        <f>(4.93+(24.4)/CP16)*CO16/(CO16-59712.41)</f>
        <v>23.8781551255416</v>
      </c>
      <c r="CR18" s="33">
        <v>0.5</v>
      </c>
      <c r="CS18" s="33">
        <f>(19.5+98.59+27.95)/CR15*100</f>
        <v>0.56169230769230771</v>
      </c>
      <c r="CT18" s="33">
        <v>13.2</v>
      </c>
      <c r="CU18" s="33">
        <v>13.2</v>
      </c>
      <c r="CV18" s="33">
        <v>13.2</v>
      </c>
      <c r="CY18" s="33">
        <v>12.21</v>
      </c>
      <c r="CZ18" s="33">
        <v>13.24</v>
      </c>
      <c r="DA18" s="33">
        <f>1.36+1.36</f>
        <v>2.72</v>
      </c>
      <c r="DB18" s="33">
        <f>1.86+1.86</f>
        <v>3.72</v>
      </c>
      <c r="DC18" s="33">
        <f>78.69/DC16*100</f>
        <v>0.65087494664959455</v>
      </c>
      <c r="DD18" s="33">
        <f>78.69/DD16*100</f>
        <v>0.65087494664959455</v>
      </c>
      <c r="DE18" s="33">
        <f>2.53/DE16*100</f>
        <v>0.11330455188721493</v>
      </c>
      <c r="DF18" s="33">
        <f>15.8/DF16*100</f>
        <v>0.70759364419683646</v>
      </c>
      <c r="DG18" s="33">
        <f>43.04/DG16*100</f>
        <v>1.9275209143184708</v>
      </c>
      <c r="DH18" s="33">
        <f>0/DH16*100</f>
        <v>0</v>
      </c>
      <c r="DI18" s="33">
        <f>(9.82+15.98+13.87)/DI16*100</f>
        <v>1.7825127723533032</v>
      </c>
      <c r="DJ18" s="33">
        <f>(1343.22-1322.43)/DJ$16*100</f>
        <v>0.62904689863842556</v>
      </c>
      <c r="DK18" s="33">
        <f>(1379.56-1322.43)/DK$16*100</f>
        <v>1.7285930408471977</v>
      </c>
      <c r="DL18" s="33">
        <f>(1386.29-1322.43)/DL$16*100</f>
        <v>1.9322239031770014</v>
      </c>
      <c r="DM18" s="33">
        <f>44.2-41.8</f>
        <v>2.4000000000000057</v>
      </c>
      <c r="DN18" s="33">
        <f>(3.8+31.5)/DN16*100</f>
        <v>0.39671836367723085</v>
      </c>
      <c r="DO18" s="33">
        <f t="shared" ref="DO18" si="1">(3.8+31.5)/DO16*100</f>
        <v>0.39671836367723085</v>
      </c>
      <c r="DP18" s="33">
        <f>(80.75+84.06+66.9+31.5)/DP16*100</f>
        <v>2.9580804675207917</v>
      </c>
      <c r="DQ18" s="33">
        <f>(21.71)/DQ16*100</f>
        <v>7.9517197654260977E-2</v>
      </c>
      <c r="DR18" s="33">
        <v>0.3</v>
      </c>
      <c r="DS18" s="33">
        <v>0.3</v>
      </c>
      <c r="DT18" s="33">
        <v>0.1</v>
      </c>
      <c r="DU18" s="33">
        <v>1</v>
      </c>
      <c r="DV18" s="33">
        <v>0.96</v>
      </c>
      <c r="DW18" s="33">
        <v>2.4</v>
      </c>
      <c r="DX18" s="33">
        <v>2.5</v>
      </c>
      <c r="DY18" s="33">
        <f>(456.8)/DY$16*100</f>
        <v>9.6073358992155189</v>
      </c>
      <c r="DZ18" s="33">
        <f>(468.7)/DZ$16*100</f>
        <v>9.8576145708456941</v>
      </c>
      <c r="EA18" s="33">
        <f>(316.7)/EA$16*100</f>
        <v>6.6607777567459596</v>
      </c>
      <c r="EB18" s="33">
        <v>2.5299999999999998</v>
      </c>
      <c r="EC18" s="33">
        <f>(468.79)/ED$16*100</f>
        <v>5.8686780170255384</v>
      </c>
      <c r="ED18" s="33">
        <f>(529.57)/EC$16*100</f>
        <v>6.6295693540310463</v>
      </c>
      <c r="EE18" s="33">
        <v>0.03</v>
      </c>
      <c r="EF18" s="33">
        <v>2.94</v>
      </c>
      <c r="EG18" s="33">
        <v>1.82</v>
      </c>
      <c r="EH18" s="33">
        <v>2.36</v>
      </c>
      <c r="EL18" s="33">
        <f>(83+870+401.5)/EL16*100</f>
        <v>43.136942675159233</v>
      </c>
      <c r="EM18" s="33">
        <f>ROUND(755.5/EM$16,4)*100</f>
        <v>23.97</v>
      </c>
      <c r="EN18" s="33">
        <f>ROUND(806.7/EN$16,4)*100</f>
        <v>25.77</v>
      </c>
      <c r="EO18" s="33">
        <f>10.12/EO16*100</f>
        <v>1.4525620783694559</v>
      </c>
      <c r="EP18" s="33">
        <f>12.85/EP16*100</f>
        <v>1.1767399267399268</v>
      </c>
      <c r="EQ18" s="33">
        <f>66.4/EQ16*100</f>
        <v>6.0805860805860812</v>
      </c>
      <c r="ER18" s="33">
        <v>1.42</v>
      </c>
      <c r="ES18" s="33">
        <v>0.93</v>
      </c>
      <c r="ET18" s="33">
        <v>0.93</v>
      </c>
      <c r="EU18" s="33">
        <v>2.99</v>
      </c>
      <c r="EV18" s="33">
        <f>(18.31)*100/EV$16</f>
        <v>1.6470122603916486</v>
      </c>
      <c r="EW18" s="33">
        <f>(27.06)*100/EW$16</f>
        <v>2.0071206052514463</v>
      </c>
      <c r="EY18" s="33">
        <v>9.77</v>
      </c>
      <c r="EZ18" s="33">
        <v>2.81</v>
      </c>
      <c r="FA18" s="33">
        <v>2.81</v>
      </c>
      <c r="FB18" s="33">
        <v>2.81</v>
      </c>
      <c r="FC18" s="33">
        <v>3.87</v>
      </c>
      <c r="FD18" s="33">
        <f>(5398.31)*100/FD$16</f>
        <v>36.642931809234192</v>
      </c>
      <c r="FE18" s="33">
        <f>(5486.52)*100/FE$16</f>
        <v>37.241688274663659</v>
      </c>
      <c r="FF18" s="33">
        <f>12.01/FF$16*100</f>
        <v>0.18385842442056283</v>
      </c>
      <c r="FG18" s="33">
        <f>79.17/FG$16*100</f>
        <v>1.2119959584825943</v>
      </c>
      <c r="FH18" s="33">
        <f>146.32/FH$16*100</f>
        <v>2.2083371064626158</v>
      </c>
      <c r="FI18" s="33">
        <f>(3.96+6.32+2.54+87.2+8.67+14.82+20.67)/FI$16*100</f>
        <v>2.0737655284304943</v>
      </c>
      <c r="FJ18" s="33">
        <f>(0.3+3.37+2.34+1.71)/FJ$16*100</f>
        <v>0.16930938438932386</v>
      </c>
      <c r="FK18" s="33">
        <f>(14.3+7.13+2.34+28.4)/FK$16*100</f>
        <v>1.1441542206724129</v>
      </c>
      <c r="FL18" s="33">
        <f>434/FL16*100</f>
        <v>16.597193009292898</v>
      </c>
      <c r="FM18" s="33">
        <f>399.1/FM16*100</f>
        <v>15.262533940112434</v>
      </c>
      <c r="FN18" s="33">
        <v>8.8000000000000007</v>
      </c>
      <c r="FO18" s="33">
        <v>0.1</v>
      </c>
      <c r="FQ18" s="33">
        <f>(113.1+1.4+6.13)/FQ16*100</f>
        <v>14.959077380952381</v>
      </c>
      <c r="FR18" s="33">
        <f>(109.96+5.41+16.02+0.72)/FR16*100</f>
        <v>6.7381059245960477</v>
      </c>
      <c r="FS18" s="33">
        <f>(109.96+5.41+16.02+0.72)/FS16*100</f>
        <v>6.7381059245960477</v>
      </c>
      <c r="FT18" s="33">
        <f>(35.85+120.63)/FT16*100</f>
        <v>8.0438794446186517</v>
      </c>
      <c r="FU18" s="33">
        <f>(40.28+130.8)/FU16*100</f>
        <v>8.4480195941908764</v>
      </c>
      <c r="FV18" s="33">
        <f>(40.28+133.83)/FV16*100</f>
        <v>8.5976425739102975</v>
      </c>
      <c r="GQ18" s="33">
        <f>(235.76+7.05+2726.6)/GQ$16*100</f>
        <v>33.58483609153177</v>
      </c>
      <c r="GR18" s="33">
        <f>(3168.83-790.23)/GR$16*100</f>
        <v>26.902614030166756</v>
      </c>
      <c r="GT18" s="33">
        <f>(882.3-186.8-372.6)/GT16*100</f>
        <v>15.00534411450346</v>
      </c>
      <c r="GU18" s="33">
        <f>366.5/GU16*100</f>
        <v>17.306511781649906</v>
      </c>
      <c r="GZ18" s="33">
        <v>8.07</v>
      </c>
      <c r="HA18" s="33">
        <v>8.26</v>
      </c>
      <c r="HB18" s="33">
        <v>4.62</v>
      </c>
      <c r="HC18" s="33">
        <v>7.55</v>
      </c>
      <c r="HD18" s="33">
        <v>27.35</v>
      </c>
      <c r="HE18" s="33">
        <v>29.59</v>
      </c>
      <c r="HF18" s="33">
        <v>11.61</v>
      </c>
      <c r="HG18" s="33">
        <v>12.37</v>
      </c>
      <c r="HH18" s="33">
        <v>5.72</v>
      </c>
      <c r="HI18" s="33">
        <v>6.09</v>
      </c>
      <c r="HJ18" s="33">
        <v>9.06</v>
      </c>
      <c r="HK18" s="33">
        <v>21.5</v>
      </c>
      <c r="HL18" s="33">
        <v>6.01</v>
      </c>
      <c r="HM18" s="33">
        <v>11.55</v>
      </c>
      <c r="HN18" s="33">
        <v>9.65</v>
      </c>
      <c r="HO18" s="33">
        <v>15.02</v>
      </c>
      <c r="HP18" s="33">
        <v>7.82</v>
      </c>
      <c r="HQ18" s="33">
        <v>23.04</v>
      </c>
      <c r="HR18" s="33">
        <v>71.73</v>
      </c>
      <c r="HS18" s="33">
        <v>73.36</v>
      </c>
      <c r="HT18" s="33">
        <v>3.51</v>
      </c>
      <c r="HU18" s="33">
        <v>4.38</v>
      </c>
      <c r="HV18" s="33">
        <v>4.5999999999999996</v>
      </c>
      <c r="HW18" s="33">
        <v>6.16</v>
      </c>
      <c r="HX18" s="33">
        <v>26.45</v>
      </c>
      <c r="HY18" s="33">
        <v>28.44</v>
      </c>
      <c r="HZ18" s="33">
        <v>40.44</v>
      </c>
      <c r="IA18" s="33">
        <v>48.59</v>
      </c>
      <c r="IB18" s="33">
        <v>23.7</v>
      </c>
      <c r="IC18" s="33">
        <v>26.28</v>
      </c>
      <c r="ID18" s="33">
        <v>6.21</v>
      </c>
      <c r="IE18" s="33">
        <v>20.34</v>
      </c>
      <c r="IF18" s="33">
        <v>6.33</v>
      </c>
      <c r="IG18" s="33">
        <v>6.89</v>
      </c>
      <c r="IH18" s="33">
        <v>6.71</v>
      </c>
      <c r="II18" s="33">
        <v>7.06</v>
      </c>
      <c r="IM18" s="33">
        <v>0.3</v>
      </c>
      <c r="IN18" s="33">
        <v>17.100000000000001</v>
      </c>
      <c r="IO18" s="33">
        <v>0.05</v>
      </c>
      <c r="IP18" s="33">
        <v>3.17</v>
      </c>
      <c r="IQ18" s="33">
        <v>0</v>
      </c>
      <c r="IR18" s="33">
        <v>2.1</v>
      </c>
      <c r="IS18" s="33">
        <f>1.1/IS16*100</f>
        <v>2.0958033633452378E-3</v>
      </c>
      <c r="IT18" s="33">
        <f>1.1/IT16*100</f>
        <v>2.0958033633452378E-3</v>
      </c>
      <c r="IU18" s="33">
        <v>18.96</v>
      </c>
      <c r="IV18" s="33">
        <v>18.82</v>
      </c>
      <c r="IY18" s="33">
        <f>(214.17+8.65)/IY$16*100</f>
        <v>2.0370922295746809</v>
      </c>
      <c r="IZ18" s="33">
        <f>(237.01+8.64)/IZ$16*100</f>
        <v>2.239354292923768</v>
      </c>
      <c r="JB18" s="30">
        <f>(33560.1-33416.3)/JB16*100</f>
        <v>0.33923815320446915</v>
      </c>
      <c r="JC18" s="30">
        <f>(33406-33132.9)/JC16*100</f>
        <v>0.6442693994446651</v>
      </c>
    </row>
    <row r="19" spans="1:263" s="33" customFormat="1" x14ac:dyDescent="0.3">
      <c r="A19" s="33" t="s">
        <v>185</v>
      </c>
      <c r="B19" s="33">
        <v>23</v>
      </c>
      <c r="C19" s="33">
        <v>20.3</v>
      </c>
      <c r="D19" s="33">
        <v>20.3</v>
      </c>
      <c r="E19" s="33">
        <v>24.2</v>
      </c>
      <c r="F19" s="33">
        <v>7.1</v>
      </c>
      <c r="G19" s="33">
        <v>13.5</v>
      </c>
      <c r="H19" s="33">
        <v>15.7</v>
      </c>
      <c r="I19" s="33">
        <v>6.24</v>
      </c>
      <c r="J19" s="33">
        <v>5.75</v>
      </c>
      <c r="K19" s="33">
        <v>18.04</v>
      </c>
      <c r="L19" s="33">
        <f>(28.5+56.58+26.09+203.67+65.83+61.1+22.87+6.44+1.3+42.65+3.04+93.77+100.84+13.93+155.99+137.72+77.61+8.85)/L$16*100</f>
        <v>21.981946196089332</v>
      </c>
      <c r="M19" s="33">
        <v>12.2</v>
      </c>
      <c r="N19" s="33">
        <v>13.5</v>
      </c>
      <c r="P19" s="33">
        <v>26.1</v>
      </c>
      <c r="Q19" s="33">
        <v>26.1</v>
      </c>
      <c r="R19" s="33">
        <f>572.8*0.4/R16*100</f>
        <v>7.9693913043478268</v>
      </c>
      <c r="S19" s="33">
        <v>9.42</v>
      </c>
      <c r="T19" s="33">
        <v>10.78</v>
      </c>
      <c r="U19" s="33">
        <v>19.47</v>
      </c>
      <c r="V19" s="33">
        <v>11.61</v>
      </c>
      <c r="W19" s="33">
        <v>11.57</v>
      </c>
      <c r="X19" s="33">
        <v>12.9</v>
      </c>
      <c r="Y19" s="33">
        <f t="shared" ref="Y19" si="2">(38.05)/Y$16*100</f>
        <v>6.3613869662620779</v>
      </c>
      <c r="Z19" s="33">
        <f>(69.4)/Z$16*100</f>
        <v>11.602634834654095</v>
      </c>
      <c r="AA19" s="33">
        <f>(70.19)/AA$16*100</f>
        <v>11.734710937238773</v>
      </c>
      <c r="AB19" s="33">
        <f>(96.69)/AB$16*100</f>
        <v>16.240321144834304</v>
      </c>
      <c r="AC19" s="33">
        <f>(219.07)/AC$16*100</f>
        <v>2.5263917815865282</v>
      </c>
      <c r="AD19" s="33">
        <f>(253.2)/AD16*100</f>
        <v>2.9199908663792802</v>
      </c>
      <c r="AE19" s="33">
        <f>(20.45+16.98+0.29+15.17+20.39+9.6+37.23+2.53+23.51+27.73+30.18+11.63)/AF16*100</f>
        <v>2.4875415330286326</v>
      </c>
      <c r="AF19" s="33">
        <f>(21.87+57.16+39.2+23.36+40.2+0.22+20.54+9.6+16.37+16.56+0.29+19.01)/AE16*100</f>
        <v>3.049080766387454</v>
      </c>
      <c r="AG19" s="33">
        <v>15.21</v>
      </c>
      <c r="AH19" s="33">
        <v>19.84</v>
      </c>
      <c r="AI19" s="33">
        <v>22.68</v>
      </c>
      <c r="AJ19" s="33">
        <v>2.02</v>
      </c>
      <c r="AK19" s="33">
        <v>2.54</v>
      </c>
      <c r="AL19" s="33">
        <v>3.92</v>
      </c>
      <c r="AM19" s="33">
        <f>(73.2+3.9+16+40.8)/AM$16*100</f>
        <v>5.6908495898678222</v>
      </c>
      <c r="AN19" s="33">
        <f>(160.3+3.9+16+43.6)/AN$16*100</f>
        <v>9.511666454162949</v>
      </c>
      <c r="AO19" s="33">
        <f>(229.8+3.9+16+45.8)/AO$16*100</f>
        <v>12.558969781971182</v>
      </c>
      <c r="AP19" s="33">
        <f>(604.5)/AP$16*100</f>
        <v>3.3684949597953824</v>
      </c>
      <c r="AQ19" s="33">
        <f>(734.6)/AQ$16*100</f>
        <v>4.0934597145834379</v>
      </c>
      <c r="AR19" s="33">
        <f>(736.3)/AR$16*100</f>
        <v>4.1029327359757488</v>
      </c>
      <c r="AS19" s="33">
        <v>2.79</v>
      </c>
      <c r="AT19" s="33">
        <v>3.48</v>
      </c>
      <c r="AU19" s="33">
        <v>5.54</v>
      </c>
      <c r="AV19" s="33">
        <v>2.2799999999999998</v>
      </c>
      <c r="AW19" s="33">
        <v>2.88</v>
      </c>
      <c r="AX19" s="33">
        <v>3.81</v>
      </c>
      <c r="AY19" s="33">
        <f>(953.22)/AY$16*100</f>
        <v>15.883188034871628</v>
      </c>
      <c r="AZ19" s="33">
        <f>(1000.58)/AZ$16*100</f>
        <v>16.672331973659656</v>
      </c>
      <c r="BA19" s="33">
        <f>1.54*18284.89/$BA$16</f>
        <v>4.6421432963670624</v>
      </c>
      <c r="BB19" s="33">
        <f>3.57*18284.89/$BB$16</f>
        <v>10.133702802728521</v>
      </c>
      <c r="BC19" s="33">
        <v>0</v>
      </c>
      <c r="BG19" s="33">
        <f>ROUND(603.72/BG16,3)*100</f>
        <v>19.600000000000001</v>
      </c>
      <c r="BH19" s="33">
        <f>ROUND(672.02/BH16,3)*100</f>
        <v>21</v>
      </c>
      <c r="BI19" s="33">
        <f>ROUND(956.91/BI16,3)*100</f>
        <v>29.799999999999997</v>
      </c>
      <c r="BJ19" s="33">
        <f>143.75/BJ16*100</f>
        <v>2.7096056699087687</v>
      </c>
      <c r="BK19" s="33">
        <f>640.45/BK16*100</f>
        <v>12.072117922038755</v>
      </c>
      <c r="BL19" s="33">
        <f>1077.95/BL16*100</f>
        <v>20.318743873935009</v>
      </c>
      <c r="BM19" s="33">
        <f>1153.25/BM16*100</f>
        <v>21.738106009198525</v>
      </c>
      <c r="BO19" s="33">
        <f>(342)/BO16*100</f>
        <v>4.1506869265498327</v>
      </c>
      <c r="BP19" s="33">
        <f>(408.3)/BP16*100</f>
        <v>4.9553376377494054</v>
      </c>
      <c r="BQ19" s="33">
        <f>(120.51+29.73+26.834+60.9136)/BQ16*100</f>
        <v>41.781868322672551</v>
      </c>
      <c r="BR19" s="33">
        <f>(137.2769+56.8589+156.8296+60.9136)/BR16*100</f>
        <v>49.939509367500051</v>
      </c>
      <c r="BS19" s="33">
        <f>(137.2769+56.8589+156.8296+60.9136)/BS16*100</f>
        <v>49.939509367500051</v>
      </c>
      <c r="BT19" s="33">
        <f>(233.6)/BT$16*100</f>
        <v>7.8886937727948112</v>
      </c>
      <c r="BU19" s="33">
        <f>(335.2)/BU$16*100</f>
        <v>10.260491597538952</v>
      </c>
      <c r="BV19" s="33">
        <f>(307)/BV$16*100</f>
        <v>10.353084004991059</v>
      </c>
      <c r="BW19" s="33">
        <f>(0.3)/BW$16*100</f>
        <v>1.0042177144004821E-2</v>
      </c>
      <c r="BX19" s="33">
        <f>2.2*BX16/(BX16-37805.5)</f>
        <v>10.086078109740489</v>
      </c>
      <c r="BY19" s="33">
        <f>2.4*BX16/(BX16-37805.5)</f>
        <v>11.002994301535079</v>
      </c>
      <c r="BZ19" s="33">
        <f>1847.8/BZ$16*100</f>
        <v>17.547791568930972</v>
      </c>
      <c r="CA19" s="33">
        <f>2133.5/CA$16*100</f>
        <v>20.260966182657334</v>
      </c>
      <c r="CC19" s="33">
        <f>(96.9+1.9+4.5+4.8+27.2+28.7+5.2+15.5+6.5)/CC$16*100</f>
        <v>6.315233188003698</v>
      </c>
      <c r="CD19" s="33">
        <f>(115.6+1.9+4.5+4.8+27.2+40.2+5.2+15.5+6.5)/CD$16*100</f>
        <v>6.6388797265285318</v>
      </c>
      <c r="CE19" s="33">
        <f>(144.2+2.6+4.5+12.1+29+47.2+15.3+15.5+12.5)/CE$16*100</f>
        <v>8.4830129838975683</v>
      </c>
      <c r="CF19" s="33">
        <f>(78.74+1.1+8.11+4.09+65.44+38.33+12.11)/CF$16*100</f>
        <v>7.4937197928342565</v>
      </c>
      <c r="CG19" s="33">
        <f>176.37/CG$16*100</f>
        <v>6.2121142744432252</v>
      </c>
      <c r="CH19" s="33">
        <f>176.37/CH$16*100</f>
        <v>6.216624898222463</v>
      </c>
      <c r="CJ19" s="33">
        <v>4.2</v>
      </c>
      <c r="CK19" s="33">
        <v>4.2</v>
      </c>
      <c r="CL19" s="33">
        <v>15.35</v>
      </c>
      <c r="CM19" s="33">
        <v>15.35</v>
      </c>
      <c r="CN19" s="33">
        <f>1.46*CN16/(CN16-60916.39)</f>
        <v>7.6648996686085047</v>
      </c>
      <c r="CO19" s="33">
        <f>2.02*CN16/(CN16-59712.41)</f>
        <v>9.7831036821929978</v>
      </c>
      <c r="CP19" s="33">
        <f>(2.02+(4+0.9)/CP16)*CO16/(CO16-59712.41)</f>
        <v>9.7834190486488186</v>
      </c>
      <c r="CR19" s="33">
        <f>10.2</f>
        <v>10.199999999999999</v>
      </c>
      <c r="CS19" s="33">
        <f>(22.78+362.03+214.43+10.5+183.96+2.74)/CR16*100</f>
        <v>10.248214630380236</v>
      </c>
      <c r="CT19" s="33">
        <v>33.1</v>
      </c>
      <c r="CU19" s="33">
        <v>40.700000000000003</v>
      </c>
      <c r="CV19" s="33">
        <v>42.7</v>
      </c>
      <c r="CY19" s="33">
        <v>5.04</v>
      </c>
      <c r="CZ19" s="33">
        <v>20.25</v>
      </c>
      <c r="DA19" s="33">
        <f>2.89+0.27+0.33+0.55</f>
        <v>4.04</v>
      </c>
      <c r="DB19" s="33">
        <f>5.49+2.34+0.36+0.55</f>
        <v>8.74</v>
      </c>
      <c r="DC19" s="33">
        <f>100/DD16*807.15</f>
        <v>6.6762449255079455</v>
      </c>
      <c r="DD19" s="33">
        <f>100/DD16*3125.17</f>
        <v>25.849470797063329</v>
      </c>
      <c r="DE19" s="33">
        <f>(63.42+1.33+9.68+0.94)/DE16*100</f>
        <v>3.3754008204503521</v>
      </c>
      <c r="DF19" s="33">
        <f>(90.88+12.48+0.14+149.68)/DF16*100</f>
        <v>11.338516382136396</v>
      </c>
      <c r="DG19" s="33">
        <f>(101.43+22.87+52.76+186.87)/DG16*100</f>
        <v>16.298389552693333</v>
      </c>
      <c r="DH19" s="33">
        <f>(39.13+38.38+50.07)/DH16*100</f>
        <v>5.7326185907949192</v>
      </c>
      <c r="DI19" s="33">
        <f>(126.05+164.49+184.94)/DI16*100</f>
        <v>21.364990496560338</v>
      </c>
      <c r="DJ19" s="33">
        <f>261.97/DJ$16*100</f>
        <v>7.9264750378214828</v>
      </c>
      <c r="DK19" s="33">
        <f>408.11/DK16*100</f>
        <v>12.348260211800303</v>
      </c>
      <c r="DL19" s="33">
        <f>465.29/DL16*100</f>
        <v>14.07836611195159</v>
      </c>
      <c r="DM19" s="33">
        <v>14.7</v>
      </c>
      <c r="DN19" s="33">
        <v>2.2000000000000002</v>
      </c>
      <c r="DO19" s="33">
        <v>3.4</v>
      </c>
      <c r="DP19" s="33">
        <v>12.7</v>
      </c>
      <c r="DQ19" s="33">
        <f>(416.16)/DQ$16*100</f>
        <v>1.524268861160629</v>
      </c>
      <c r="DR19" s="33">
        <v>2</v>
      </c>
      <c r="DS19" s="33">
        <v>2.2000000000000002</v>
      </c>
      <c r="DT19" s="33">
        <v>4.4000000000000004</v>
      </c>
      <c r="DU19" s="33">
        <v>11.64</v>
      </c>
      <c r="DV19" s="33">
        <f>(152.8+92.89)/DV$16*100</f>
        <v>12.295566009408468</v>
      </c>
      <c r="DW19" s="33">
        <v>3.2</v>
      </c>
      <c r="DX19" s="33">
        <v>3.4</v>
      </c>
      <c r="DY19" s="33">
        <f>(483.7)/DY$16*100</f>
        <v>10.17309188802659</v>
      </c>
      <c r="DZ19" s="33">
        <f>(572.8)/DZ$16*100</f>
        <v>12.047027152081105</v>
      </c>
      <c r="EA19" s="33">
        <f>(707.9)/EA$16*100</f>
        <v>14.888426188823701</v>
      </c>
      <c r="EB19" s="33">
        <v>7.54</v>
      </c>
      <c r="EC19" s="33">
        <f>(503.28)/EC$16*100</f>
        <v>6.3004506760140204</v>
      </c>
      <c r="ED19" s="33">
        <f>(661.03)/ED$16*100</f>
        <v>8.2752879318978465</v>
      </c>
      <c r="EE19" s="33">
        <v>4.09</v>
      </c>
      <c r="EF19" s="33">
        <v>7</v>
      </c>
      <c r="EG19" s="33">
        <v>6.83</v>
      </c>
      <c r="EH19" s="33">
        <v>9.08</v>
      </c>
      <c r="EL19" s="33">
        <f>(232.5+434.8)/EL16*100</f>
        <v>21.251592356687894</v>
      </c>
      <c r="EM19" s="33">
        <f>ROUND(749.7/EM$16,4)*100</f>
        <v>23.78</v>
      </c>
      <c r="EN19" s="33">
        <f>ROUND(751.6/EN16,4)*100</f>
        <v>24.01</v>
      </c>
      <c r="EO19" s="33">
        <f>308.07/EO16*100</f>
        <v>44.218458446964256</v>
      </c>
      <c r="EP19" s="33">
        <f>389.95/EP16*100</f>
        <v>35.709706959706963</v>
      </c>
      <c r="EQ19" s="33">
        <f>604.92/EQ16*100</f>
        <v>55.395604395604394</v>
      </c>
      <c r="ER19" s="33">
        <v>14.91</v>
      </c>
      <c r="ES19" s="33">
        <v>19.73</v>
      </c>
      <c r="ET19" s="33">
        <v>19.73</v>
      </c>
      <c r="EU19" s="33">
        <v>26.52</v>
      </c>
      <c r="EV19" s="33">
        <f>(14.82+591.1)*100/EV16</f>
        <v>54.503422655188857</v>
      </c>
      <c r="EW19" s="33">
        <f>(760.53+17.88)*100/EW16</f>
        <v>57.736982643524698</v>
      </c>
      <c r="EY19" s="33">
        <f>15+0.78+1.4+0.6+0.5</f>
        <v>18.28</v>
      </c>
      <c r="EZ19" s="33">
        <v>28.67</v>
      </c>
      <c r="FA19" s="33">
        <v>28.67</v>
      </c>
      <c r="FB19" s="33">
        <v>28.67</v>
      </c>
      <c r="FC19" s="33">
        <v>31.11</v>
      </c>
      <c r="FD19" s="33">
        <f>(836.48)*100/FD$16</f>
        <v>5.6779028251041934</v>
      </c>
      <c r="FE19" s="33">
        <f>(1058.54)*100/FE$16</f>
        <v>7.1852133422027933</v>
      </c>
      <c r="FF19" s="33">
        <f>632.45/FF$16*100</f>
        <v>9.6820366798322208</v>
      </c>
      <c r="FG19" s="33">
        <f>818.8/FG16*100</f>
        <v>12.534827470071344</v>
      </c>
      <c r="FH19" s="33">
        <f>1020.48/FH16*100</f>
        <v>15.401611880829485</v>
      </c>
      <c r="FI19" s="33">
        <f>(116.01+0.43+53.97+313.62+2.7+4.04+49.5+72.52+83.99+69.66+199.68+1.98+2.52+361.99+1.81)/FI$16*100</f>
        <v>19.19319043173963</v>
      </c>
      <c r="FJ19" s="33">
        <f>(5.68+43.66+133.3+35.41+82.59+33.22+42.22)/FJ$16*100</f>
        <v>8.2479110467793948</v>
      </c>
      <c r="FK19" s="33">
        <f>(5.68+83.55+157.65+35.41+152.27+43.78+229.35)/FK$16*100</f>
        <v>15.520538631927538</v>
      </c>
      <c r="FL19" s="33">
        <f>1491/FL16*100</f>
        <v>57.019388886764311</v>
      </c>
      <c r="FM19" s="33">
        <f>1790.3/FM16*100</f>
        <v>68.465333282343494</v>
      </c>
      <c r="FN19" s="33">
        <v>44.6</v>
      </c>
      <c r="FO19" s="33">
        <v>80.2</v>
      </c>
      <c r="FQ19" s="33">
        <f>(650.61+100.5+242.03+21.49)/FQ16*100</f>
        <v>125.82217261904762</v>
      </c>
      <c r="FR19" s="33">
        <f>(648.36+115.05+259.16+108.65)/FR16*100</f>
        <v>57.696466459931436</v>
      </c>
      <c r="FS19" s="33">
        <f>(648.36+115.05+259.16+108.65)/FS16*100</f>
        <v>57.696466459931436</v>
      </c>
      <c r="FT19" s="33">
        <f>(32.88+41.43+1100.35)/FT16*100</f>
        <v>60.383585304292843</v>
      </c>
      <c r="FU19" s="33">
        <f>(42.49+46.71+1265)/FU16*100</f>
        <v>66.871102025095183</v>
      </c>
      <c r="FV19" s="33">
        <f>(45.61+49.94+1372.47)/FV16*100</f>
        <v>72.491592966238542</v>
      </c>
      <c r="GQ19" s="33">
        <f>1406.79/GQ$16*100</f>
        <v>15.911178168459722</v>
      </c>
      <c r="GR19" s="33">
        <f>1738.62/GR16*100</f>
        <v>19.664265872836342</v>
      </c>
      <c r="GT19" s="33">
        <f>571.6/GT16*100</f>
        <v>26.562572610251404</v>
      </c>
      <c r="GU19" s="33">
        <f>605.7/GU16*100</f>
        <v>28.601784955376118</v>
      </c>
      <c r="GZ19" s="33">
        <v>21.91</v>
      </c>
      <c r="HA19" s="33">
        <v>22.52</v>
      </c>
      <c r="HB19" s="33">
        <v>23.56</v>
      </c>
      <c r="HC19" s="33">
        <v>27.62</v>
      </c>
      <c r="HD19" s="33">
        <v>21.05</v>
      </c>
      <c r="HE19" s="33">
        <v>26.2</v>
      </c>
      <c r="HF19" s="33">
        <v>36.04</v>
      </c>
      <c r="HG19" s="33">
        <v>37.369999999999997</v>
      </c>
      <c r="HH19" s="33">
        <v>22.15</v>
      </c>
      <c r="HI19" s="33">
        <v>22.01</v>
      </c>
      <c r="HJ19" s="33">
        <v>10.36</v>
      </c>
      <c r="HK19" s="33">
        <v>14.18</v>
      </c>
      <c r="HL19" s="33">
        <v>18.8</v>
      </c>
      <c r="HM19" s="33">
        <v>24.84</v>
      </c>
      <c r="HN19" s="33">
        <v>25.47</v>
      </c>
      <c r="HO19" s="33">
        <v>29.568999999999999</v>
      </c>
      <c r="HP19" s="33">
        <v>7.04</v>
      </c>
      <c r="HQ19" s="33">
        <v>8.61</v>
      </c>
      <c r="HR19" s="33">
        <v>6.46</v>
      </c>
      <c r="HS19" s="33">
        <v>9.82</v>
      </c>
      <c r="HT19" s="33">
        <v>15.17</v>
      </c>
      <c r="HU19" s="33">
        <v>18.669</v>
      </c>
      <c r="HV19" s="33">
        <v>25.4</v>
      </c>
      <c r="HW19" s="33">
        <v>28.47</v>
      </c>
      <c r="HX19" s="33">
        <v>18.09</v>
      </c>
      <c r="HY19" s="33">
        <v>20.239999999999998</v>
      </c>
      <c r="HZ19" s="33">
        <v>12.7</v>
      </c>
      <c r="IA19" s="33">
        <v>19.329999999999998</v>
      </c>
      <c r="IB19" s="33">
        <v>21.65</v>
      </c>
      <c r="IC19" s="33">
        <v>26.57</v>
      </c>
      <c r="ID19" s="33">
        <v>9.3699999999999992</v>
      </c>
      <c r="IE19" s="33">
        <v>20.58</v>
      </c>
      <c r="IF19" s="33">
        <v>31.87</v>
      </c>
      <c r="IG19" s="33">
        <v>31.85</v>
      </c>
      <c r="IH19" s="33">
        <v>27.76</v>
      </c>
      <c r="II19" s="33">
        <v>28.15</v>
      </c>
      <c r="IM19" s="33">
        <v>1.1000000000000001</v>
      </c>
      <c r="IN19" s="33">
        <v>1.6</v>
      </c>
      <c r="IO19" s="33">
        <v>0.54</v>
      </c>
      <c r="IP19" s="33">
        <v>1.52</v>
      </c>
      <c r="IQ19" s="33">
        <v>1.7</v>
      </c>
      <c r="IR19" s="33">
        <v>2.4</v>
      </c>
      <c r="IS19" s="33">
        <f>(4.49+9.58+12.17+22.41+92.34+17.09+19.66+37.97+38.49+13.2+14.19+43.94)/IS16*100</f>
        <v>0.6202244262452502</v>
      </c>
      <c r="IT19" s="33">
        <f>(4.49+9.58+14.57+29.39+193.99+17.09+24.13+45.93+38.49+13.2+14.19+60.6)/IT16*100</f>
        <v>0.88719166921973647</v>
      </c>
      <c r="IU19" s="33">
        <v>0.98</v>
      </c>
      <c r="IV19" s="33">
        <v>1.1399999999999999</v>
      </c>
      <c r="IW19" s="33">
        <f>(13.6+3.9*2+6.4+16.1+15.8+11.2+8.6+5.7+8+28.2+14.6+1.1+55.2+7.3+45.7)/IW15*100</f>
        <v>9.6689002759164371</v>
      </c>
      <c r="IX19" s="33">
        <f>(16.6+3.9*2+7.8+34.1+29.4+27.9+19.7+18.9+8+30.1+32.3+9.9+83.9+22.3+52)/IX15*100</f>
        <v>15.713725490196081</v>
      </c>
      <c r="IY19" s="33">
        <f>(885.32+125.2+138.44+12.69)/IY$16*100</f>
        <v>10.620178567836946</v>
      </c>
      <c r="IZ19" s="33">
        <f>(873.84+107.15+122.17+10.83)/IZ16*100</f>
        <v>10.155173168223685</v>
      </c>
      <c r="JB19" s="33">
        <f>742.8/JB16*100</f>
        <v>1.7523372753844739</v>
      </c>
      <c r="JC19" s="33">
        <f>892.3/JC16*100</f>
        <v>2.1050222816714674</v>
      </c>
    </row>
    <row r="20" spans="1:263" s="33" customFormat="1" x14ac:dyDescent="0.3">
      <c r="A20" s="33" t="s">
        <v>188</v>
      </c>
      <c r="B20" s="33">
        <v>12</v>
      </c>
      <c r="C20" s="33">
        <f>15.92+1.8</f>
        <v>17.72</v>
      </c>
      <c r="D20" s="33">
        <f>29-D22</f>
        <v>16.899999999999999</v>
      </c>
      <c r="E20" s="33">
        <f>33-E22</f>
        <v>21.9</v>
      </c>
      <c r="F20" s="33">
        <f>4.7-F22</f>
        <v>4.5</v>
      </c>
      <c r="G20" s="33">
        <f>5.5-G22</f>
        <v>5.2</v>
      </c>
      <c r="H20" s="33">
        <f>13.7-H22</f>
        <v>13.1</v>
      </c>
      <c r="I20" s="33">
        <f>(53.28)/I16*100+5.45</f>
        <v>7.5947893855468251</v>
      </c>
      <c r="J20" s="33">
        <f>(81.11)/J16*100+5.81</f>
        <v>8.6309034124897401</v>
      </c>
      <c r="K20" s="33">
        <f>(94.93)/K16*100+9.79</f>
        <v>12.00528882997839</v>
      </c>
      <c r="L20" s="33">
        <f>(65.29+7.64+71.06+19.76+25+0.5+52.66+437.52+37.29)/L$16*100</f>
        <v>14.234898062542825</v>
      </c>
      <c r="M20" s="33">
        <f>1.2+3.5</f>
        <v>4.7</v>
      </c>
      <c r="N20" s="33">
        <f>0.7+5.9</f>
        <v>6.6000000000000005</v>
      </c>
      <c r="P20" s="33">
        <v>9.5</v>
      </c>
      <c r="Q20" s="33">
        <v>9.5</v>
      </c>
      <c r="R20" s="33">
        <f>153/R16*100</f>
        <v>5.321739130434783</v>
      </c>
      <c r="S20" s="33">
        <v>7.26</v>
      </c>
      <c r="T20" s="33">
        <v>7.52</v>
      </c>
      <c r="U20" s="33">
        <v>8.9</v>
      </c>
      <c r="V20" s="33">
        <f>5.92+1.06</f>
        <v>6.98</v>
      </c>
      <c r="W20" s="33">
        <f>2.7+5.96</f>
        <v>8.66</v>
      </c>
      <c r="X20" s="33">
        <f>12.7-X22</f>
        <v>5.9715405238193435</v>
      </c>
      <c r="Y20" s="33">
        <f>(17.48)/Y$16*100</f>
        <v>2.9223927508610026</v>
      </c>
      <c r="Z20" s="33">
        <f>(35.79)/Z$16*100</f>
        <v>5.9835490019059083</v>
      </c>
      <c r="AA20" s="33">
        <f>(54.64)/AA$16*100</f>
        <v>9.1349851205403425</v>
      </c>
      <c r="AB20" s="33">
        <f>(6.6+53.5)/AB$16*100</f>
        <v>10.094563044829266</v>
      </c>
      <c r="AC20" s="33">
        <f>(8.5+83.1)/AC$16*100</f>
        <v>1.0563632044247317</v>
      </c>
      <c r="AD20" s="33">
        <f>(19.42+213.31)/AD$16*100</f>
        <v>2.6839236742987755</v>
      </c>
      <c r="AE20" s="33">
        <f>(71.99+5.64+2.34+6.39+2.09+2.08+4.65+3.19)/AE$16*100</f>
        <v>1.1344960851408348</v>
      </c>
      <c r="AF20" s="33">
        <f>(0.2+3.19+2.08+2.09+4.48+12.55+7.51+73.55)/AF$16*100</f>
        <v>1.2184559458689559</v>
      </c>
      <c r="AG20" s="33">
        <f>1.02+89.54/140.79*2.06</f>
        <v>2.3301242986007531</v>
      </c>
      <c r="AH20" s="33">
        <f>3.15+217.63/566.41*8.27</f>
        <v>6.3275570699669847</v>
      </c>
      <c r="AI20" s="33">
        <f>3.15+219.76/568.54*8.3</f>
        <v>6.3582316107925561</v>
      </c>
      <c r="AJ20" s="33">
        <v>1.44</v>
      </c>
      <c r="AK20" s="33">
        <v>2.7</v>
      </c>
      <c r="AL20" s="33">
        <v>3.82</v>
      </c>
      <c r="AM20" s="33">
        <f>(66.4+0.4+6.7+5.6)/AM$16*100</f>
        <v>3.3618088316545545</v>
      </c>
      <c r="AN20" s="33">
        <f>(213+0.4+6.9+9.1)/AN$16*100</f>
        <v>9.749670619235836</v>
      </c>
      <c r="AO20" s="33">
        <f>(253+0.9+9.1)/AO$16*100</f>
        <v>11.177695609673169</v>
      </c>
      <c r="AP20" s="33">
        <f>(94.1)/AP$16*100</f>
        <v>0.52435959589205205</v>
      </c>
      <c r="AQ20" s="33">
        <f>(107.7)/AQ$16*100</f>
        <v>0.60014376703054217</v>
      </c>
      <c r="AR20" s="33">
        <f>(107.7)/AR$16*100</f>
        <v>0.60014376703054217</v>
      </c>
      <c r="AS20" s="33">
        <f>0.74+(2.5)/AS16*100</f>
        <v>0.75134924345943099</v>
      </c>
      <c r="AT20" s="33">
        <f>0.75+(2.5)/AT16*100</f>
        <v>0.761349243459431</v>
      </c>
      <c r="AU20" s="33">
        <f>0.91+(128.66)/AU16*100</f>
        <v>1.4940774653961566</v>
      </c>
      <c r="AV20" s="33">
        <f>(288.24+46.94)/AV$16*100</f>
        <v>2.0224278426249684</v>
      </c>
      <c r="AW20" s="33">
        <f>(349.18+105.08)/AW$16*100</f>
        <v>2.7409394110353187</v>
      </c>
      <c r="AX20" s="33">
        <f>(131.46+349.18)/AX$16*100</f>
        <v>2.9001125314137619</v>
      </c>
      <c r="AY20" s="33">
        <f>(73.88+42.42)/AY$16*100</f>
        <v>1.9378682449545441</v>
      </c>
      <c r="AZ20" s="33">
        <f>(73.85+34.27)/AZ$16*100</f>
        <v>1.8015676237702949</v>
      </c>
      <c r="BA20" s="33">
        <f>(1.63+0.03)*18284.89/$BA$16</f>
        <v>5.0038687480320281</v>
      </c>
      <c r="BB20" s="33">
        <f>(3.42+0.4)*18284.89/$BB$16</f>
        <v>10.843345856140884</v>
      </c>
      <c r="BC20" s="33">
        <v>0</v>
      </c>
      <c r="BG20" s="33">
        <f>ROUND(73.35/BG16,3)*100</f>
        <v>2.4</v>
      </c>
      <c r="BH20" s="33">
        <f t="shared" ref="BH20:BI20" si="3">ROUND(73.35/BH16,3)*100</f>
        <v>2.2999999999999998</v>
      </c>
      <c r="BI20" s="33">
        <f t="shared" si="3"/>
        <v>2.2999999999999998</v>
      </c>
      <c r="BJ20" s="33">
        <f>34/BJ16*100</f>
        <v>0.64088064540450884</v>
      </c>
      <c r="BK20" s="33">
        <f>38.2/BK16*100</f>
        <v>0.72004825454271293</v>
      </c>
      <c r="BL20" s="33">
        <f t="shared" ref="BL20:BM20" si="4">38.2/BL16*100</f>
        <v>0.72004825454271293</v>
      </c>
      <c r="BM20" s="33">
        <f t="shared" si="4"/>
        <v>0.72004825454271293</v>
      </c>
      <c r="BO20" s="33">
        <f>(142.6)/BO16*100</f>
        <v>1.7306665372105439</v>
      </c>
      <c r="BP20" s="33">
        <f>(181.6)/BP16*100</f>
        <v>2.2039904849749985</v>
      </c>
      <c r="BQ20" s="33">
        <f>(4.9176+8.9725)/BQ16*100</f>
        <v>2.4385906206405457</v>
      </c>
      <c r="BR20" s="33">
        <f>(13.1431+8.9725)/BR16*100</f>
        <v>2.681472503739895</v>
      </c>
      <c r="BS20" s="33">
        <f>(13.1431+8.9725)/BS16*100</f>
        <v>2.681472503739895</v>
      </c>
      <c r="BT20" s="33">
        <f>(9.7+37.8)/BT$16*100</f>
        <v>1.6040794272592189</v>
      </c>
      <c r="BU20" s="33">
        <f>(10.6+67.9)/BU16*100</f>
        <v>2.4028895895191162</v>
      </c>
      <c r="BV20" s="33">
        <f>(0.8+151.2)/BV$16*100</f>
        <v>5.1259569014939448</v>
      </c>
      <c r="BW20" s="33">
        <f>(0.8+191.4)/BW$16*100</f>
        <v>6.433688156925756</v>
      </c>
      <c r="BX20" s="33">
        <f>1.46*BX16/(BX16-37805.5)</f>
        <v>6.6934882001005072</v>
      </c>
      <c r="BY20" s="33">
        <f>1.46*BX16/(BX16-37805.5)</f>
        <v>6.6934882001005072</v>
      </c>
      <c r="BZ20" s="33">
        <f>(111.9+1388.7)/BZ$16*100</f>
        <v>14.250576917598126</v>
      </c>
      <c r="CA20" s="33">
        <f>(112.5+1388.8)/CA$16*100</f>
        <v>14.257224527782263</v>
      </c>
      <c r="CC20" s="33">
        <f>(0.52+4.7+4.3+4.3+5.3+1+1.4+2.3)/CC$16*100</f>
        <v>0.78676179151803394</v>
      </c>
      <c r="CD20" s="33">
        <f>(0.52+4.7+2.4+2.3)/CD$16*100</f>
        <v>0.29746019370895688</v>
      </c>
      <c r="CE20" s="33">
        <f>(0.52+4.7+2.9+2+0.7)/CE$16*100</f>
        <v>0.32444750967045494</v>
      </c>
      <c r="CF20" s="33">
        <f>(23.7+7.76+1.27+113.82)/CF$16*100</f>
        <v>5.2818614642163348</v>
      </c>
      <c r="CG20" s="33">
        <f>(18.04+143.21)/CG$16*100</f>
        <v>5.6795567656289059</v>
      </c>
      <c r="CH20" s="33">
        <f>(6.68+141.21)/CH$16*100</f>
        <v>5.2127723320185977</v>
      </c>
      <c r="CJ20" s="33">
        <v>6.61</v>
      </c>
      <c r="CK20" s="33">
        <v>6.78</v>
      </c>
      <c r="CL20" s="33">
        <f>1.35+2.79</f>
        <v>4.1400000000000006</v>
      </c>
      <c r="CM20" s="33">
        <f>1.35+2.79</f>
        <v>4.1400000000000006</v>
      </c>
      <c r="CN20" s="33">
        <f>(0.99+0.07)*CN16/(CN16-60916.39)</f>
        <v>5.5649271566609695</v>
      </c>
      <c r="CO20" s="33">
        <f>(1.06+0.07)*CN16/(CN16-59712.41)</f>
        <v>5.4727263172663791</v>
      </c>
      <c r="CP20" s="33">
        <f>(1.06+0.07)*CO16/(CO16-59712.41)</f>
        <v>5.4727263172663791</v>
      </c>
      <c r="CR20" s="33">
        <v>3.7</v>
      </c>
      <c r="CT20" s="33">
        <f>3.7+6.3</f>
        <v>10</v>
      </c>
      <c r="CU20" s="33">
        <f>3.8+7.5</f>
        <v>11.3</v>
      </c>
      <c r="CV20" s="33">
        <f>3.8+7.5</f>
        <v>11.3</v>
      </c>
      <c r="CY20" s="33">
        <f>0.58+0.02</f>
        <v>0.6</v>
      </c>
      <c r="CZ20" s="33">
        <f>2.31+0.16</f>
        <v>2.4700000000000002</v>
      </c>
      <c r="DA20" s="33">
        <f>0.41+1.8</f>
        <v>2.21</v>
      </c>
      <c r="DB20" s="33">
        <f>0.44+2.41</f>
        <v>2.85</v>
      </c>
      <c r="DE20" s="33">
        <f>(6.98+0.66+58.64+15.51)/DE16*100</f>
        <v>3.6629167189151426</v>
      </c>
      <c r="DF20" s="33">
        <f>(11.66+49.54+0.66+82.8)/DF16*100</f>
        <v>6.4785124411085029</v>
      </c>
      <c r="DG20" s="33">
        <f>(11.66+63.71+29.86+82.8)/DG16*100</f>
        <v>8.4208122100209586</v>
      </c>
      <c r="DH20" s="33">
        <f>(17.83+1.24+0.5)/DH16*100</f>
        <v>0.87934900314983955</v>
      </c>
      <c r="DI20" s="33">
        <f>(7.92+1.24+0.5)/DI16*100</f>
        <v>0.43405781146793315</v>
      </c>
      <c r="DJ20" s="33">
        <f>77.16/DJ$16*100</f>
        <v>2.3346444780635403</v>
      </c>
      <c r="DK20" s="33">
        <f>143.426/DK$16*100</f>
        <v>4.3396671709531009</v>
      </c>
      <c r="DL20" s="33">
        <f>149.41/DL$16*100</f>
        <v>4.5207261724659613</v>
      </c>
      <c r="DM20" s="33">
        <v>4.5</v>
      </c>
      <c r="DN20" s="33">
        <v>0.7</v>
      </c>
      <c r="DO20" s="33">
        <v>3.7</v>
      </c>
      <c r="DP20" s="33">
        <v>3.9</v>
      </c>
      <c r="DQ20" s="33">
        <f>(31.91+5.47+188.06)/DQ$16*100</f>
        <v>0.82571888711085195</v>
      </c>
      <c r="DR20" s="33">
        <v>0.9</v>
      </c>
      <c r="DS20" s="33">
        <v>0.9</v>
      </c>
      <c r="DT20" s="33">
        <f>0.7+2.5</f>
        <v>3.2</v>
      </c>
      <c r="DU20" s="33">
        <f>3.8+6.6</f>
        <v>10.399999999999999</v>
      </c>
      <c r="DV20" s="33">
        <f>(14.09+24.71+14.71+150)/DV$16*100</f>
        <v>10.184666199579622</v>
      </c>
      <c r="DW20" s="33">
        <v>1.5</v>
      </c>
      <c r="DX20" s="33">
        <v>1.6</v>
      </c>
      <c r="DY20" s="33">
        <f>(162.8+445.7)/DY$16*100</f>
        <v>12.797863166971634</v>
      </c>
      <c r="DZ20" s="33">
        <f>(189+445.7)/DZ$16*100</f>
        <v>13.348896880980934</v>
      </c>
      <c r="EA20" s="33">
        <f>(195+445.2)/EA$16*100</f>
        <v>13.464571897280594</v>
      </c>
      <c r="EB20" s="33">
        <v>2.35</v>
      </c>
      <c r="EC20" s="33">
        <f>(190.55)/EC$16*100</f>
        <v>2.3854531797696548</v>
      </c>
      <c r="ED20" s="33">
        <f>(209.02)/ED$16*100</f>
        <v>2.6166750125187783</v>
      </c>
      <c r="EE20" s="33">
        <v>0.97</v>
      </c>
      <c r="EF20" s="33">
        <v>0.99</v>
      </c>
      <c r="EG20" s="33">
        <v>1.57</v>
      </c>
      <c r="EH20" s="33">
        <v>1.72</v>
      </c>
      <c r="EL20" s="33">
        <f>(129+163+188+129)/EL16*100</f>
        <v>19.394904458598727</v>
      </c>
      <c r="EM20" s="33">
        <f>ROUND((427.2-EM22)/EM$16,4)*100</f>
        <v>13.309999999999999</v>
      </c>
      <c r="EN20" s="33">
        <f>ROUND((427.2-EN22)/EN$16,4)*100</f>
        <v>13.370000000000001</v>
      </c>
      <c r="EO20" s="33">
        <f>159.07/EO16*100</f>
        <v>22.831921917611595</v>
      </c>
      <c r="EP20" s="33">
        <f>174.1*100/EP16</f>
        <v>15.943223443223443</v>
      </c>
      <c r="EQ20" s="33">
        <f>246.98*100/EQ16</f>
        <v>22.617216117216117</v>
      </c>
      <c r="ER20" s="33">
        <v>10.119999999999999</v>
      </c>
      <c r="ES20" s="33">
        <v>10.28</v>
      </c>
      <c r="ET20" s="33">
        <v>10.28</v>
      </c>
      <c r="EU20" s="33">
        <v>10.68</v>
      </c>
      <c r="EV20" s="33">
        <f>(19.64+67.81)*100/EV$16</f>
        <v>7.8662600858137459</v>
      </c>
      <c r="EW20" s="33">
        <f>(19.64+75.54)*100/EW$16</f>
        <v>7.0597834149236016</v>
      </c>
      <c r="EY20" s="33">
        <f>0.18+2.43</f>
        <v>2.6100000000000003</v>
      </c>
      <c r="EZ20" s="33">
        <v>17.71</v>
      </c>
      <c r="FA20" s="33">
        <v>17.71</v>
      </c>
      <c r="FB20" s="33">
        <v>17.75</v>
      </c>
      <c r="FC20" s="33">
        <v>16.59</v>
      </c>
      <c r="FD20" s="33">
        <f>(18.23+36.17)*100/FD$16</f>
        <v>0.3692591737825987</v>
      </c>
      <c r="FE20" s="33">
        <f>(18.44+36.17)*100/FE$16</f>
        <v>0.3706846227990388</v>
      </c>
      <c r="FF20" s="33">
        <f>(8.73+1.69+68.13)/FF$16*100</f>
        <v>1.2025045160895262</v>
      </c>
      <c r="FG20" s="33">
        <f>(13.83+2.89+92.49)/FG$16*100</f>
        <v>1.6718716512048013</v>
      </c>
      <c r="FH20" s="33">
        <f>(15.93+2.89+121.39)/FH$16*100</f>
        <v>2.116121826798274</v>
      </c>
      <c r="FI20" s="33">
        <f>(242.23)/FI$16*100</f>
        <v>3.4840353998593323</v>
      </c>
      <c r="FJ20" s="33">
        <f>(570.78*0.25+0.68+12.54+14.47)/FJ$16*100</f>
        <v>3.7367589973024544</v>
      </c>
      <c r="FK20" s="33">
        <f>(888.69*0.25+0.68+12.54+14.47)/FK$16*100</f>
        <v>5.4798013027172843</v>
      </c>
      <c r="FL20" s="33">
        <f>(93.3-60)/FL16*100</f>
        <v>1.2734712608512753</v>
      </c>
      <c r="FM20" s="33">
        <f>(96.5-61)/FM16*100</f>
        <v>1.3576044973039123</v>
      </c>
      <c r="FN20" s="33">
        <v>14.8</v>
      </c>
      <c r="FO20" s="33">
        <v>7.5</v>
      </c>
      <c r="FQ20" s="33">
        <f>(108.84-93.88+32.01+0.27)/FQ16*100</f>
        <v>5.8581349206349218</v>
      </c>
      <c r="FR20" s="33">
        <f>(75.53-56.11+4.82+34.84-1.68+0.34)/FR16*100</f>
        <v>2.944956748816713</v>
      </c>
      <c r="FS20" s="33">
        <f>(75.53-56.11+4.82+34.84-1.68+0.34)/FS16*100</f>
        <v>2.944956748816713</v>
      </c>
      <c r="FT20" s="33">
        <f>(7.43+16.87)/FT16*100</f>
        <v>1.2491453892141693</v>
      </c>
      <c r="FU20" s="33">
        <f>(7.43+16.61)/FU16*100</f>
        <v>1.1871077334834501</v>
      </c>
      <c r="FV20" s="33">
        <f>(7.43+16.61)/FV16*100</f>
        <v>1.1871077334834501</v>
      </c>
      <c r="GQ20" s="33">
        <f>(33.01+177.92)/GQ$16*100</f>
        <v>2.3856757661578549</v>
      </c>
      <c r="GR20" s="33">
        <f>(40.78+223.41)/GR$16*100</f>
        <v>2.9880608764103909</v>
      </c>
      <c r="GT20" s="33">
        <f>(49.5+30.5)/GT16*100</f>
        <v>3.7176448719736044</v>
      </c>
      <c r="GU20" s="33">
        <f>(25+194.6)/GU16*100</f>
        <v>10.369740756481088</v>
      </c>
      <c r="GZ20" s="33">
        <f>0.45+14.87+0.34</f>
        <v>15.659999999999998</v>
      </c>
      <c r="HA20" s="33">
        <f>16.8+0.45</f>
        <v>17.25</v>
      </c>
      <c r="HB20" s="33">
        <f>0.91+16.11+0.8</f>
        <v>17.82</v>
      </c>
      <c r="HC20" s="33">
        <f>1.73+21.88</f>
        <v>23.61</v>
      </c>
      <c r="HD20" s="33">
        <f>0.59+14.79+0.4</f>
        <v>15.78</v>
      </c>
      <c r="HE20" s="33">
        <f>1.36+16.99</f>
        <v>18.349999999999998</v>
      </c>
      <c r="HF20" s="33">
        <f>1.59+19.96+0.61</f>
        <v>22.16</v>
      </c>
      <c r="HG20" s="33">
        <f>1.6+22.1</f>
        <v>23.700000000000003</v>
      </c>
      <c r="HH20" s="33">
        <f>3.11+28.3+0.05</f>
        <v>31.46</v>
      </c>
      <c r="HI20" s="33">
        <f>3.71+30.1</f>
        <v>33.81</v>
      </c>
      <c r="HJ20" s="33">
        <f>3.21+6.92+0.17</f>
        <v>10.299999999999999</v>
      </c>
      <c r="HK20" s="33">
        <f>4.73+10.35</f>
        <v>15.08</v>
      </c>
      <c r="HL20" s="33">
        <f>1+17.83+0.9</f>
        <v>19.729999999999997</v>
      </c>
      <c r="HM20" s="33">
        <f>1.33+21.65</f>
        <v>22.979999999999997</v>
      </c>
      <c r="HN20" s="33">
        <f>1.24+14.28+0.2</f>
        <v>15.719999999999999</v>
      </c>
      <c r="HO20" s="33">
        <f>2.75+16.65</f>
        <v>19.399999999999999</v>
      </c>
      <c r="HP20" s="33">
        <f>2.41+23.76+0.63</f>
        <v>26.8</v>
      </c>
      <c r="HQ20" s="33">
        <f>1.68+24.78</f>
        <v>26.46</v>
      </c>
      <c r="HR20" s="33">
        <f>0.32+4.71+0.06</f>
        <v>5.09</v>
      </c>
      <c r="HS20" s="33">
        <f>0.52+5.39</f>
        <v>5.91</v>
      </c>
      <c r="HT20" s="33">
        <f>1.24+32.63+0.33</f>
        <v>34.200000000000003</v>
      </c>
      <c r="HU20" s="33">
        <f>1.31+35.23</f>
        <v>36.54</v>
      </c>
      <c r="HV20" s="33">
        <f>2.75+19.71+0.82</f>
        <v>23.28</v>
      </c>
      <c r="HW20" s="33">
        <f>2.75+24.41</f>
        <v>27.16</v>
      </c>
      <c r="HX20" s="33">
        <f>9.89+0.68</f>
        <v>10.57</v>
      </c>
      <c r="HY20" s="33">
        <f>0.64+10.16</f>
        <v>10.8</v>
      </c>
      <c r="HZ20" s="33">
        <f>0.75+8.55+0.17</f>
        <v>9.4700000000000006</v>
      </c>
      <c r="IA20" s="33">
        <f>1.76+9.67</f>
        <v>11.43</v>
      </c>
      <c r="IB20" s="33">
        <f>2.51+10.33+0.61</f>
        <v>13.45</v>
      </c>
      <c r="IC20" s="33">
        <f>4.39+14.76</f>
        <v>19.149999999999999</v>
      </c>
      <c r="ID20" s="33">
        <f>0.16+10.59+0.09</f>
        <v>10.84</v>
      </c>
      <c r="IE20" s="33">
        <f>0.54+15.61</f>
        <v>16.149999999999999</v>
      </c>
      <c r="IF20" s="33">
        <f>1.45+23.65+1.55</f>
        <v>26.65</v>
      </c>
      <c r="IG20" s="33">
        <f>1.64+25.44</f>
        <v>27.080000000000002</v>
      </c>
      <c r="IH20" s="33">
        <f>2.69+17.13+0.46</f>
        <v>20.28</v>
      </c>
      <c r="II20" s="33">
        <f>2.5+17.8</f>
        <v>20.3</v>
      </c>
      <c r="IM20" s="33">
        <v>0.7</v>
      </c>
      <c r="IN20" s="33">
        <f>0.9+0.1</f>
        <v>1</v>
      </c>
      <c r="IO20" s="33">
        <f>0.44+0.11</f>
        <v>0.55000000000000004</v>
      </c>
      <c r="IP20" s="33">
        <f>0.25+2.38</f>
        <v>2.63</v>
      </c>
      <c r="IQ20" s="33">
        <v>1</v>
      </c>
      <c r="IR20" s="33">
        <v>1.3</v>
      </c>
      <c r="IS20" s="33">
        <f>(0.68+7.68)/IS16*100</f>
        <v>1.5928105561423805E-2</v>
      </c>
      <c r="IT20" s="33">
        <f>(0.68+17.05)/IT16*100</f>
        <v>3.3780539665555512E-2</v>
      </c>
      <c r="IU20" s="33">
        <f>0.34</f>
        <v>0.34</v>
      </c>
      <c r="IV20" s="33">
        <v>0.35</v>
      </c>
      <c r="IY20" s="33">
        <f>(43.56+565.85)/IY$16*100</f>
        <v>5.5714225636168502</v>
      </c>
      <c r="IZ20" s="33">
        <f>(44.49+708.53)/IZ$16*100</f>
        <v>6.8645575805310637</v>
      </c>
      <c r="JB20" s="33">
        <f>258.5/JB16*100-JB22</f>
        <v>0.6029852013843181</v>
      </c>
      <c r="JC20" s="33">
        <f>283.2/JC16*100-JC22</f>
        <v>0.61572432535722632</v>
      </c>
    </row>
    <row r="21" spans="1:263" s="33" customFormat="1" x14ac:dyDescent="0.3">
      <c r="A21" s="33" t="s">
        <v>192</v>
      </c>
      <c r="B21" s="33">
        <v>7</v>
      </c>
      <c r="C21" s="33">
        <v>7.93</v>
      </c>
      <c r="D21" s="33">
        <v>3</v>
      </c>
      <c r="E21" s="33">
        <v>14.6</v>
      </c>
      <c r="F21" s="33">
        <v>5.3</v>
      </c>
      <c r="G21" s="33">
        <v>7.5</v>
      </c>
      <c r="H21" s="33">
        <v>11.1</v>
      </c>
      <c r="I21" s="33">
        <v>2.31</v>
      </c>
      <c r="J21" s="33">
        <v>5.29</v>
      </c>
      <c r="K21" s="33">
        <v>11.43</v>
      </c>
      <c r="L21" s="33">
        <f>(60.19+129.95+35.11+149.91+19.21+1.4+1.23+83.17+1.01)/L$16*100</f>
        <v>9.5567979821050848</v>
      </c>
      <c r="M21" s="33">
        <v>1.2</v>
      </c>
      <c r="N21" s="33">
        <v>1.8</v>
      </c>
      <c r="P21" s="33">
        <v>0.6</v>
      </c>
      <c r="Q21" s="33">
        <v>8.1</v>
      </c>
      <c r="R21" s="33">
        <f>572.8*0.1/R16*100</f>
        <v>1.9923478260869567</v>
      </c>
      <c r="S21" s="33">
        <v>2.2599999999999998</v>
      </c>
      <c r="T21" s="33">
        <v>2.77</v>
      </c>
      <c r="U21" s="33">
        <v>3.67</v>
      </c>
      <c r="V21" s="33">
        <v>2.25</v>
      </c>
      <c r="W21" s="33">
        <f>2.24</f>
        <v>2.2400000000000002</v>
      </c>
      <c r="X21" s="33">
        <f>1.6+0.1</f>
        <v>1.7000000000000002</v>
      </c>
      <c r="Y21" s="33">
        <f>(15.15)/Y$16*100</f>
        <v>2.5328518407061891</v>
      </c>
      <c r="Z21" s="33">
        <f>(26.43)/Z$16*100</f>
        <v>4.4186979636874311</v>
      </c>
      <c r="AA21" s="33">
        <f>(49.22)/AA$16*100</f>
        <v>8.2288427458454532</v>
      </c>
      <c r="AB21" s="33">
        <f>(42.97)/AB$16*100</f>
        <v>7.2173606328837527</v>
      </c>
      <c r="AC21" s="33">
        <f>(7.79)/AC$16*100</f>
        <v>8.9837001773675332E-2</v>
      </c>
      <c r="AD21" s="33">
        <f>(43.89)/AD$16*100</f>
        <v>0.50615481487119518</v>
      </c>
      <c r="AE21" s="33">
        <f>(0.03+0.11+0+0+0.06+0.15+2.45+5.48)/AE$16*100</f>
        <v>9.5492808630335588E-2</v>
      </c>
      <c r="AF21" s="33">
        <f>(0.03+0.11+0.91+1.63+0.16+1.18+24.79+5.48)/AF$16*100</f>
        <v>0.39546478356693321</v>
      </c>
      <c r="AG21" s="33">
        <v>4.34</v>
      </c>
      <c r="AH21" s="33">
        <v>6.94</v>
      </c>
      <c r="AI21" s="33">
        <v>7.09</v>
      </c>
      <c r="AJ21" s="33">
        <v>0.08</v>
      </c>
      <c r="AK21" s="33">
        <v>0.57999999999999996</v>
      </c>
      <c r="AL21" s="33">
        <v>1.6</v>
      </c>
      <c r="AM21" s="33">
        <f>(16.9+0.1)/AM$16*100</f>
        <v>0.72251264397126946</v>
      </c>
      <c r="AN21" s="33">
        <f>(83+3+0.9)/AN$16*100</f>
        <v>3.6933146330060778</v>
      </c>
      <c r="AO21" s="33">
        <f>(132.5+3+0.9)/AO$16*100</f>
        <v>5.7971014492753623</v>
      </c>
      <c r="AP21" s="33">
        <f>(34.1)/AP$16*100</f>
        <v>0.1900176643987139</v>
      </c>
      <c r="AQ21" s="33">
        <f>(57.6)/AQ$16*100</f>
        <v>0.3209682542336047</v>
      </c>
      <c r="AR21" s="33">
        <f>(59.2)/AR$16*100</f>
        <v>0.32988403907342706</v>
      </c>
      <c r="AS21" s="33">
        <v>0.08</v>
      </c>
      <c r="AT21" s="33">
        <v>0.16</v>
      </c>
      <c r="AU21" s="33">
        <v>0.46</v>
      </c>
      <c r="AV21" s="33">
        <v>0.09</v>
      </c>
      <c r="AW21" s="33">
        <v>0.36</v>
      </c>
      <c r="AX21" s="33">
        <v>0.76</v>
      </c>
      <c r="AY21" s="33">
        <f>(69.82)/AY$16*100</f>
        <v>1.1633874536777837</v>
      </c>
      <c r="AZ21" s="33">
        <f>(74.14)/AZ$16*100</f>
        <v>1.2353701778239887</v>
      </c>
      <c r="BA21" s="33">
        <f>0.06*18284.89/$BA$16</f>
        <v>0.18086272583248297</v>
      </c>
      <c r="BB21" s="33">
        <f>0.31*18284.89/$BB$16</f>
        <v>0.87995738623132824</v>
      </c>
      <c r="BC21" s="33">
        <v>0</v>
      </c>
      <c r="BG21" s="33">
        <f>ROUND(87.69/BG16,3)*100</f>
        <v>2.8000000000000003</v>
      </c>
      <c r="BH21" s="33">
        <f>ROUND(102.6/BH16,3)*100</f>
        <v>3.2</v>
      </c>
      <c r="BI21" s="33">
        <f>ROUND(110.45/BI16,3)*100</f>
        <v>3.4000000000000004</v>
      </c>
      <c r="BJ21" s="33">
        <f>3.8/BJ16*100</f>
        <v>7.1627836839327455E-2</v>
      </c>
      <c r="BK21" s="33">
        <f>91/BK16*100</f>
        <v>1.7152981979944206</v>
      </c>
      <c r="BL21" s="33">
        <f>135.8/BL16*100</f>
        <v>2.559752695468597</v>
      </c>
      <c r="BM21" s="33">
        <f>139.3/BM16*100</f>
        <v>2.6257257030837673</v>
      </c>
      <c r="BO21" s="33">
        <f>(52)/BO16*100</f>
        <v>0.63109859701927273</v>
      </c>
      <c r="BP21" s="33">
        <f>(57.3)/BP16*100</f>
        <v>0.69542210786931402</v>
      </c>
      <c r="BQ21" s="33">
        <f>(43.2236+28.5623)/BQ16*100</f>
        <v>12.602963436853598</v>
      </c>
      <c r="BR21" s="33">
        <f>(45.1005+51.4702)/BR16*100</f>
        <v>11.709005259496202</v>
      </c>
      <c r="BS21" s="33">
        <f>(45.1005+51.4702)/BS16*100</f>
        <v>11.709005259496202</v>
      </c>
      <c r="BT21" s="33">
        <f>(26.6)/BT16*100</f>
        <v>0.89828447926516253</v>
      </c>
      <c r="BU21" s="33">
        <f>(39.3)/BU16*100</f>
        <v>1.2029752976828185</v>
      </c>
      <c r="BV21" s="33">
        <f>39.3/BV16*100</f>
        <v>1.3253296462415263</v>
      </c>
      <c r="BW21" s="33">
        <f>39.3/BW16*100</f>
        <v>1.3155252058646314</v>
      </c>
      <c r="BX21" s="33">
        <f>0.1*BX16/(BX16-37805.5)</f>
        <v>0.45845809589729503</v>
      </c>
      <c r="BY21" s="33">
        <f>0.2*BX16/(BX16-37805.5)</f>
        <v>0.91691619179459005</v>
      </c>
      <c r="BZ21" s="33">
        <f>90.6/BZ$16*100</f>
        <v>0.86039068954710785</v>
      </c>
      <c r="CA21" s="33">
        <f>178.8/CA$16*100</f>
        <v>1.6979895727485972</v>
      </c>
      <c r="CC21" s="33">
        <f>(10.4+2.1)/CC$16*100</f>
        <v>0.41286827850442587</v>
      </c>
      <c r="CD21" s="33">
        <f>(10.4+2.1)/CD$16*100</f>
        <v>0.37482383279858467</v>
      </c>
      <c r="CE21" s="33">
        <f>(10.4+5.1)/CE$16*100</f>
        <v>0.46478155267024501</v>
      </c>
      <c r="CF21" s="33">
        <f>(10.48)/CF$16*100</f>
        <v>0.37771346397125338</v>
      </c>
      <c r="CG21" s="33">
        <f>16.37/CG$16*100</f>
        <v>0.57658508064090042</v>
      </c>
      <c r="CH21" s="33">
        <f>15.28/CH$16*100</f>
        <v>0.53858382063184906</v>
      </c>
      <c r="CJ21" s="33">
        <v>3.14</v>
      </c>
      <c r="CK21" s="33">
        <v>3.14</v>
      </c>
      <c r="CL21" s="33">
        <v>2.57</v>
      </c>
      <c r="CM21" s="33">
        <v>2.57</v>
      </c>
      <c r="CN21" s="33">
        <f>0.04*CN16/(CN16-60916.39)</f>
        <v>0.20999725119475357</v>
      </c>
      <c r="CO21" s="33">
        <f>0.15*CN16/(CN16-59712.41)</f>
        <v>0.72646809521235123</v>
      </c>
      <c r="CP21" s="33">
        <f>(0.15+(3.5+11)/CP16)*CO16/(CO16-59712.41)</f>
        <v>0.72740132247957867</v>
      </c>
      <c r="CR21" s="33">
        <f>1.7</f>
        <v>1.7</v>
      </c>
      <c r="CS21" s="33">
        <f>(12.76+4.36+98.8+1.45)*100/CS16</f>
        <v>1.5102618542108988</v>
      </c>
      <c r="CT21" s="33">
        <v>2.2000000000000002</v>
      </c>
      <c r="CU21" s="33">
        <v>5.7</v>
      </c>
      <c r="CV21" s="33">
        <v>5.7</v>
      </c>
      <c r="CY21" s="33">
        <v>0.22</v>
      </c>
      <c r="CZ21" s="33">
        <v>3.38</v>
      </c>
      <c r="DA21" s="33">
        <f>1.08+0.02</f>
        <v>1.1000000000000001</v>
      </c>
      <c r="DB21" s="33">
        <f>1.11+0.29</f>
        <v>1.4000000000000001</v>
      </c>
      <c r="DE21" s="33">
        <f>(2.93+2.64)/DE16*100</f>
        <v>0.24944915178331512</v>
      </c>
      <c r="DF21" s="33">
        <f>(35.46+48.43)/DF16*100</f>
        <v>3.756963975422317</v>
      </c>
      <c r="DG21" s="33">
        <f>(48.43+52.95)/DG16*100</f>
        <v>4.5402432689034979</v>
      </c>
      <c r="DH21" s="33">
        <f>(10.77)/DH16*100</f>
        <v>0.48393401961797516</v>
      </c>
      <c r="DI21" s="33">
        <f>(1.95+39.37+14.64)/DI16*100</f>
        <v>2.5144798270958115</v>
      </c>
      <c r="DJ21" s="33">
        <f>(16.67+28.75)/DJ$16*100</f>
        <v>1.3742813918305599</v>
      </c>
      <c r="DK21" s="33">
        <f>(6.52+28.75)/DK$16*100</f>
        <v>1.0671709531013616</v>
      </c>
      <c r="DL21" s="33">
        <f>(8.97+28.75)/DL$16*100</f>
        <v>1.1413010590015129</v>
      </c>
      <c r="DM21" s="33">
        <v>0.8</v>
      </c>
      <c r="DN21" s="33">
        <v>0.05</v>
      </c>
      <c r="DO21" s="33">
        <v>0.3</v>
      </c>
      <c r="DP21" s="33">
        <v>0.7</v>
      </c>
      <c r="DQ21" s="33">
        <f>(7.68)/DQ$16*100</f>
        <v>2.8129529156366847E-2</v>
      </c>
      <c r="DR21" s="33">
        <v>0</v>
      </c>
      <c r="DS21" s="33">
        <v>0</v>
      </c>
      <c r="DT21" s="33">
        <v>0</v>
      </c>
      <c r="DU21" s="33">
        <v>0</v>
      </c>
      <c r="DV21" s="33">
        <v>0</v>
      </c>
      <c r="DW21" s="33">
        <v>0.1</v>
      </c>
      <c r="DX21" s="33">
        <v>0.2</v>
      </c>
      <c r="DY21" s="33">
        <f>(32.8)/DY$16*100</f>
        <v>0.68984373356889006</v>
      </c>
      <c r="DZ21" s="33">
        <f>(78.4)/DZ$16*100</f>
        <v>1.6488947777988108</v>
      </c>
      <c r="EA21" s="33">
        <f>(89.8)/EA$16*100</f>
        <v>1.8886575388562907</v>
      </c>
      <c r="EB21" s="33">
        <v>0.09</v>
      </c>
      <c r="EC21" s="33">
        <f>(16.44)/EC$16*100</f>
        <v>0.20580871306960444</v>
      </c>
      <c r="ED21" s="33">
        <f>(56.61)/ED$16*100</f>
        <v>0.70868803204807207</v>
      </c>
      <c r="EE21" s="33">
        <v>0.15</v>
      </c>
      <c r="EF21" s="33">
        <v>1.34</v>
      </c>
      <c r="EG21" s="33">
        <v>0.28999999999999998</v>
      </c>
      <c r="EH21" s="33">
        <v>0.46</v>
      </c>
      <c r="EL21" s="33">
        <f>(39+87.12)/EL16*100</f>
        <v>4.0165605095541403</v>
      </c>
      <c r="EM21" s="33">
        <f>ROUND(125/EM$16,4)*100</f>
        <v>3.9699999999999998</v>
      </c>
      <c r="EN21" s="33">
        <f>ROUND(218.5/EN16,4)*100</f>
        <v>6.98</v>
      </c>
      <c r="EO21" s="33">
        <f>13.07/EO16*100</f>
        <v>1.8759867948901967</v>
      </c>
      <c r="EP21" s="33">
        <f>16.21/EP16*100</f>
        <v>1.4844322344322345</v>
      </c>
      <c r="EQ21" s="33">
        <f>32.19/EQ16*100</f>
        <v>2.9478021978021975</v>
      </c>
      <c r="ER21" s="33">
        <v>1.2</v>
      </c>
      <c r="ES21" s="33">
        <v>3.1</v>
      </c>
      <c r="ET21" s="33">
        <v>3.1</v>
      </c>
      <c r="EU21" s="33">
        <v>6.35</v>
      </c>
      <c r="EV21" s="33">
        <f>(1.42+5.56)*100/EV$16</f>
        <v>0.62786158260697478</v>
      </c>
      <c r="EW21" s="33">
        <f>(19.6+5.56)*100/EW16</f>
        <v>1.8661919596499035</v>
      </c>
      <c r="EY21" s="33">
        <v>1.02</v>
      </c>
      <c r="EZ21" s="33">
        <v>3.42</v>
      </c>
      <c r="FA21" s="33">
        <v>3.42</v>
      </c>
      <c r="FB21" s="33">
        <v>3.42</v>
      </c>
      <c r="FC21" s="33">
        <v>3.49</v>
      </c>
      <c r="FD21" s="33">
        <f>(14.56)*100/FD$16</f>
        <v>9.8831131806519049E-2</v>
      </c>
      <c r="FE21" s="33">
        <f>(42.58)*100/FE$16</f>
        <v>0.28902675771439429</v>
      </c>
      <c r="FF21" s="33">
        <f>11.43/FF$16*100</f>
        <v>0.17497933314962807</v>
      </c>
      <c r="FG21" s="33">
        <f>33.39/FG$16*100</f>
        <v>0.51116009920088201</v>
      </c>
      <c r="FH21" s="33">
        <f>49.05/FH$16*100</f>
        <v>0.74028796522684048</v>
      </c>
      <c r="FI21" s="33">
        <f>(1.76+1.37+0.66+12.33+13.32+2.51+13.56)/FI$16*100</f>
        <v>0.65457809126697053</v>
      </c>
      <c r="FJ21" s="33">
        <f>(10.34+1.32+0.64)/FJ$16*100</f>
        <v>0.26975458911770511</v>
      </c>
      <c r="FK21" s="33">
        <f>(18.14+1.32+7.73+1.28+46.74)/FK$16*100</f>
        <v>1.6494506217514311</v>
      </c>
      <c r="FL21" s="33">
        <f>31.4/FL16*100</f>
        <v>1.2008107384603617</v>
      </c>
      <c r="FM21" s="33">
        <f>61.3/FM16*100</f>
        <v>2.344257906612107</v>
      </c>
      <c r="FN21" s="33">
        <v>12.8</v>
      </c>
      <c r="FO21" s="33">
        <v>5.7</v>
      </c>
      <c r="FQ21" s="33">
        <f>(5.62+20.5+3.95)/FQ16*100</f>
        <v>3.7289186507936507</v>
      </c>
      <c r="FR21" s="33">
        <f>(15.13+1.43+21.22+3.78)/FR16*100</f>
        <v>2.1197160110984168</v>
      </c>
      <c r="FS21" s="33">
        <f>(15.13+1.43+21.22+3.78)/FS16*100</f>
        <v>2.1197160110984168</v>
      </c>
      <c r="FT21" s="33">
        <f>(24.58+16.2+2.74+3.41)/FT16*100</f>
        <v>2.4124441611448959</v>
      </c>
      <c r="FU21" s="33">
        <f>(36.49+17.51+2.81+5.78)/FU16*100</f>
        <v>3.0907268318938916</v>
      </c>
      <c r="FV21" s="33">
        <f>(42.5+18.94+2.81+9.31)/FV16*100</f>
        <v>3.6324311512080945</v>
      </c>
      <c r="GQ21" s="33">
        <f>206.63/GQ$16*100</f>
        <v>2.3370415946579319</v>
      </c>
      <c r="GR21" s="33">
        <f>382.19/GR$16*100</f>
        <v>4.3226730245478153</v>
      </c>
      <c r="GT21" s="33">
        <f>(117.7+5.7+30.6+21.9+72)/GT16*100</f>
        <v>11.520052047028209</v>
      </c>
      <c r="GU21" s="33">
        <f>151.5/GU16*100</f>
        <v>7.1539878169712425</v>
      </c>
      <c r="GZ21" s="33">
        <v>28.85</v>
      </c>
      <c r="HA21" s="33">
        <v>35.24</v>
      </c>
      <c r="HB21" s="33">
        <v>13.54</v>
      </c>
      <c r="HC21" s="33">
        <f>4.73+20.04</f>
        <v>24.77</v>
      </c>
      <c r="HD21" s="33">
        <v>4.79</v>
      </c>
      <c r="HE21" s="33">
        <v>6.7</v>
      </c>
      <c r="HF21" s="33">
        <v>12.76</v>
      </c>
      <c r="HG21" s="33">
        <v>15.17</v>
      </c>
      <c r="HH21" s="33">
        <v>5.33</v>
      </c>
      <c r="HI21" s="33">
        <v>6.66</v>
      </c>
      <c r="HJ21" s="33">
        <v>1.01</v>
      </c>
      <c r="HK21" s="33">
        <v>1.85</v>
      </c>
      <c r="HL21" s="33">
        <v>7.6</v>
      </c>
      <c r="HM21" s="33">
        <v>12.33</v>
      </c>
      <c r="HN21" s="33">
        <v>2.86</v>
      </c>
      <c r="HO21" s="33">
        <v>4.58</v>
      </c>
      <c r="HP21" s="33">
        <v>4.7699999999999996</v>
      </c>
      <c r="HQ21" s="33">
        <v>10.01</v>
      </c>
      <c r="HR21" s="33">
        <v>0.8</v>
      </c>
      <c r="HS21" s="33">
        <v>1.71</v>
      </c>
      <c r="HT21" s="33">
        <v>10.67</v>
      </c>
      <c r="HU21" s="33">
        <v>20.51</v>
      </c>
      <c r="HV21" s="33">
        <v>5.86</v>
      </c>
      <c r="HW21" s="33">
        <v>9.64</v>
      </c>
      <c r="HX21" s="33">
        <v>16.170000000000002</v>
      </c>
      <c r="HY21" s="33">
        <v>17.48</v>
      </c>
      <c r="HZ21" s="33">
        <v>5.41</v>
      </c>
      <c r="IA21" s="33">
        <v>7.58</v>
      </c>
      <c r="IB21" s="33">
        <v>4.84</v>
      </c>
      <c r="IC21" s="33">
        <v>7.7</v>
      </c>
      <c r="ID21" s="33">
        <v>2.0699999999999998</v>
      </c>
      <c r="IE21" s="33">
        <v>8.4600000000000009</v>
      </c>
      <c r="IF21" s="33">
        <v>8.09</v>
      </c>
      <c r="IG21" s="33">
        <v>12.19</v>
      </c>
      <c r="IH21" s="33">
        <v>27.52</v>
      </c>
      <c r="II21" s="33">
        <v>28.79</v>
      </c>
      <c r="IM21" s="33">
        <v>0</v>
      </c>
      <c r="IN21" s="33">
        <v>0.1</v>
      </c>
      <c r="IO21" s="33">
        <v>0</v>
      </c>
      <c r="IP21" s="33">
        <v>0.03</v>
      </c>
      <c r="IQ21" s="33">
        <v>0</v>
      </c>
      <c r="IR21" s="33">
        <v>0</v>
      </c>
      <c r="IS21" s="33">
        <f>(0.37+18.41+1.19)/IS16*100</f>
        <v>3.8048357423640364E-2</v>
      </c>
      <c r="IT21" s="33">
        <f>(0.37+19.93+1.19)/IT16*100</f>
        <v>4.0944376616626511E-2</v>
      </c>
      <c r="IU21" s="33">
        <v>0.04</v>
      </c>
      <c r="IV21" s="33">
        <v>0.04</v>
      </c>
      <c r="IY21" s="33">
        <f>(218.06+123.02)/IY$16*100</f>
        <v>3.118263251338893</v>
      </c>
      <c r="IZ21" s="33">
        <f>(209.28+118.64)/IZ$16*100</f>
        <v>2.9893305912296437</v>
      </c>
      <c r="JB21" s="33">
        <f>23.3/JB16*100</f>
        <v>5.4966960846066566E-2</v>
      </c>
      <c r="JC21" s="33">
        <f>28.5/JC16*100</f>
        <v>6.7234265412570687E-2</v>
      </c>
    </row>
    <row r="22" spans="1:263" s="33" customFormat="1" x14ac:dyDescent="0.3">
      <c r="A22" s="34" t="s">
        <v>189</v>
      </c>
      <c r="B22" s="33">
        <v>13</v>
      </c>
      <c r="C22" s="33">
        <v>9.67</v>
      </c>
      <c r="D22" s="33">
        <v>12.1</v>
      </c>
      <c r="E22" s="33">
        <v>11.1</v>
      </c>
      <c r="F22" s="33">
        <v>0.2</v>
      </c>
      <c r="G22" s="33">
        <v>0.3</v>
      </c>
      <c r="H22" s="33">
        <v>0.6</v>
      </c>
      <c r="I22" s="33">
        <f>6.84-(53.28)/I16*100</f>
        <v>4.6952106144531749</v>
      </c>
      <c r="J22" s="33">
        <f>15.88-(81.11)/J16*100</f>
        <v>13.059096587510261</v>
      </c>
      <c r="K22" s="33">
        <f>19.17-(94.93)/K16*100</f>
        <v>16.954711170021611</v>
      </c>
      <c r="L22" s="33">
        <f>(435.21+18.21+276.7+6.5+15.44+59.58+6.37+48.1+8.48)/L$16*100</f>
        <v>17.370381036554488</v>
      </c>
      <c r="M22" s="33">
        <v>3.3</v>
      </c>
      <c r="N22" s="33">
        <v>3.4</v>
      </c>
      <c r="P22" s="33">
        <v>0</v>
      </c>
      <c r="Q22" s="33">
        <v>0</v>
      </c>
      <c r="R22" s="33">
        <f>54.2*3/R16*100</f>
        <v>5.6556521739130439</v>
      </c>
      <c r="S22" s="33">
        <f>5.05</f>
        <v>5.05</v>
      </c>
      <c r="T22" s="33">
        <f>5.05</f>
        <v>5.05</v>
      </c>
      <c r="U22" s="33">
        <f>6.73</f>
        <v>6.73</v>
      </c>
      <c r="V22" s="33">
        <f>6.35+7.03</f>
        <v>13.379999999999999</v>
      </c>
      <c r="W22" s="33">
        <f>9.26-2.7+6.28</f>
        <v>12.84</v>
      </c>
      <c r="X22" s="33">
        <f>(765.5+5.2)/1454.7*12.7</f>
        <v>6.7284594761806558</v>
      </c>
      <c r="Y22" s="33">
        <f>(270.55)/Y$16*100</f>
        <v>45.231885511753106</v>
      </c>
      <c r="Z22" s="33">
        <f>(309.42)/Z$16*100</f>
        <v>51.73036412879928</v>
      </c>
      <c r="AA22" s="33">
        <f>(309.42)/AA$16*100</f>
        <v>51.73036412879928</v>
      </c>
      <c r="AB22" s="33">
        <f>(318.17+4.39)/AB$16*100</f>
        <v>54.178074138770846</v>
      </c>
      <c r="AC22" s="33">
        <f>(13.62+6.88)/AC$16*100</f>
        <v>0.23641316256230349</v>
      </c>
      <c r="AD22" s="33">
        <f>(249.45+74.13)/AD$16*100</f>
        <v>3.7316376166785443</v>
      </c>
      <c r="AE22" s="33">
        <f>(0.1+11.69+1.48+1.91+16.84+67.36+2.08)/AE$16*100</f>
        <v>1.1701328941586773</v>
      </c>
      <c r="AF22" s="33">
        <f>(352.96+44.52+1.81+19.39+11.69+0.1)/AF$16*100</f>
        <v>4.9645880834662499</v>
      </c>
      <c r="AG22" s="33">
        <f>2.06*51.25/140.79</f>
        <v>0.7498757013992472</v>
      </c>
      <c r="AH22" s="33">
        <f>8.27*348.78/566.41</f>
        <v>5.0924429300330143</v>
      </c>
      <c r="AI22" s="33">
        <f>8.3*348.78/568.54</f>
        <v>5.0917683892074432</v>
      </c>
      <c r="AJ22" s="33">
        <v>1.43</v>
      </c>
      <c r="AK22" s="33">
        <v>2.04</v>
      </c>
      <c r="AL22" s="33">
        <v>5.01</v>
      </c>
      <c r="AM22" s="33">
        <f>(49.5+235.5)/AM$16*100</f>
        <v>12.112711972459518</v>
      </c>
      <c r="AN22" s="33">
        <f>(64.3+426.9)/AN$16*100</f>
        <v>20.876365336393384</v>
      </c>
      <c r="AO22" s="33">
        <f>(64.3+471.7)/AO$16*100</f>
        <v>22.780398656976498</v>
      </c>
      <c r="AP22" s="33">
        <f>100-AP18-AP19-AP20-AP21-AP23-AP24</f>
        <v>8.940283744852529</v>
      </c>
      <c r="AQ22" s="33">
        <f t="shared" ref="AQ22:AR22" si="5">100-AQ18-AQ19-AQ20-AQ21-AQ23-AQ24</f>
        <v>7.3285639456805818</v>
      </c>
      <c r="AR22" s="33">
        <f t="shared" si="5"/>
        <v>7.0761357874031106</v>
      </c>
      <c r="AS22" s="33">
        <f>(176.01+36.2)/AS16*100</f>
        <v>0.96336918181034048</v>
      </c>
      <c r="AT22" s="33">
        <f>(176.01+36.2)/AT16*100</f>
        <v>0.96336918181034048</v>
      </c>
      <c r="AU22" s="33">
        <f>(624.36+455.33)/AU16*100</f>
        <v>4.9014658682852197</v>
      </c>
      <c r="AV22" s="33">
        <f>(49.67-46.94)/AV$16*100</f>
        <v>1.6472426786700196E-2</v>
      </c>
      <c r="AW22" s="33">
        <f>(337.35-105.08)/AW$16*100</f>
        <v>1.4014837251819963</v>
      </c>
      <c r="AX22" s="33">
        <f>(384.87-131.46)/AX$16*100</f>
        <v>1.5290394402995204</v>
      </c>
      <c r="AY22" s="33">
        <f>(242.38)/AY$16*100</f>
        <v>4.0386973792956349</v>
      </c>
      <c r="AZ22" s="33">
        <f>(408.43)/AZ$16*100</f>
        <v>6.8055333386653869</v>
      </c>
      <c r="BA22" s="33">
        <f>(3.26)*18284.89/$BA$16-BA20</f>
        <v>4.8230060221995448</v>
      </c>
      <c r="BB22" s="33">
        <f>(5.77)*18284.89/$BB$16-BB20</f>
        <v>5.5352158166164198</v>
      </c>
      <c r="BC22" s="33">
        <v>0</v>
      </c>
      <c r="BG22" s="33">
        <f>ROUND(82.36/BG16,3)*100</f>
        <v>2.7</v>
      </c>
      <c r="BH22" s="33">
        <f>ROUND(200.43/BH16,3)*100</f>
        <v>6.3</v>
      </c>
      <c r="BI22" s="33">
        <f>ROUND(206.65/BI16,3)*100</f>
        <v>6.4</v>
      </c>
      <c r="BJ22" s="33">
        <f>114.76/BJ16*100</f>
        <v>2.1631606725476891</v>
      </c>
      <c r="BK22" s="33">
        <f>361.2/BK16*100</f>
        <v>6.8084143858855457</v>
      </c>
      <c r="BL22" s="33">
        <f>839/BL16*100</f>
        <v>15.814672396893615</v>
      </c>
      <c r="BM22" s="33">
        <f>1018.8/BM16*100</f>
        <v>19.203800045238633</v>
      </c>
      <c r="BO22" s="33">
        <f>922.9/BO16*100</f>
        <v>11.200786445943978</v>
      </c>
      <c r="BP22" s="33">
        <f>1338.7/BP16*100</f>
        <v>16.247147919801932</v>
      </c>
      <c r="BQ22" s="33">
        <f>14.0031/BQ16*100</f>
        <v>2.4584292640003764</v>
      </c>
      <c r="BR22" s="33">
        <f>15.5114/BR16*100</f>
        <v>1.8807263919817234</v>
      </c>
      <c r="BS22" s="33">
        <f>15.5114/BS16*100</f>
        <v>1.8807263919817234</v>
      </c>
      <c r="BT22" s="33">
        <f>(77.2)/BT16*100</f>
        <v>2.6070511954612989</v>
      </c>
      <c r="BU22" s="33">
        <f>(381.1)/BU16*100</f>
        <v>11.66549328109217</v>
      </c>
      <c r="BV22" s="33">
        <f>(311.5)/BV$16*100</f>
        <v>10.504839307995814</v>
      </c>
      <c r="BW22" s="33">
        <f>(318.1)/BW$16*100</f>
        <v>10.648055165026445</v>
      </c>
      <c r="BX22" s="33">
        <f>(4.3)*BX16/(BX16-37805.5)</f>
        <v>19.713698123583686</v>
      </c>
      <c r="BY22" s="33">
        <f>(4.2)*BX16/(BX16-37805.5)</f>
        <v>19.255240027686391</v>
      </c>
      <c r="BZ22" s="33">
        <f>(371.6+401.7)/BZ$16*100</f>
        <v>7.343709936277909</v>
      </c>
      <c r="CA22" s="33">
        <f>(339.9+403.1)/CA$16*100</f>
        <v>7.0559633811644717</v>
      </c>
      <c r="CC22" s="33">
        <f>(54.52+8.1)/CC$16*100-CC20</f>
        <v>1.2815431364777381</v>
      </c>
      <c r="CD22" s="33">
        <f>(68.92+8.1)/CD$16*100-CD20</f>
        <v>2.0120543344628024</v>
      </c>
      <c r="CE22" s="33">
        <f>(68.92+11.2)/CE$16*100-CE20</f>
        <v>2.0780233290353536</v>
      </c>
      <c r="CF22" s="33">
        <f>39.56/CF$16*100</f>
        <v>1.4257962437693497</v>
      </c>
      <c r="CG22" s="33">
        <f>18.04/CG$16*100</f>
        <v>0.63540591660121215</v>
      </c>
      <c r="CH22" s="33">
        <f>19.21/CH$16*100</f>
        <v>0.67710701533624496</v>
      </c>
      <c r="CJ22" s="33">
        <v>15.22</v>
      </c>
      <c r="CK22" s="33">
        <v>15.22</v>
      </c>
      <c r="CL22" s="33">
        <v>2.17</v>
      </c>
      <c r="CM22" s="33">
        <v>2.17</v>
      </c>
      <c r="CN22" s="33">
        <f>(0.11+0.02)*CN16/(CN16-60916.39)</f>
        <v>0.6824910663829491</v>
      </c>
      <c r="CO22" s="33">
        <f>(2.5+0.08)*CN16/(CN16-59712.41)</f>
        <v>12.495251237652441</v>
      </c>
      <c r="CP22" s="33">
        <f>(2.5+0.08+(9+136)/CP16)*CO16/(CO16-59712.41)</f>
        <v>12.504583510324714</v>
      </c>
      <c r="CR22" s="33">
        <v>3.9</v>
      </c>
      <c r="CS22" s="33">
        <f>(128.74+16.95+140.15+8.79+1.92+22.88)/CS16*100</f>
        <v>4.1102747217396907</v>
      </c>
      <c r="CT22" s="33">
        <v>11.4</v>
      </c>
      <c r="CU22" s="33">
        <v>12.7</v>
      </c>
      <c r="CV22" s="33">
        <v>12.7</v>
      </c>
      <c r="CY22" s="33">
        <v>4.8600000000000003</v>
      </c>
      <c r="CZ22" s="33">
        <v>7.21</v>
      </c>
      <c r="DA22" s="33">
        <f>18.68+0.09</f>
        <v>18.77</v>
      </c>
      <c r="DB22" s="33">
        <f>17.73+0.09</f>
        <v>17.82</v>
      </c>
      <c r="DC22" s="33">
        <f>100/DD16*5745.71</f>
        <v>47.524954755547618</v>
      </c>
      <c r="DD22" s="33">
        <f>100/DD16*4287.65</f>
        <v>35.464785423842088</v>
      </c>
      <c r="DE22" s="33">
        <f>(62.36+4.7+22.62)/DE16*100</f>
        <v>4.0162656969349548</v>
      </c>
      <c r="DF22" s="33">
        <f>(62.36+4.7+36.77)/DF16*100</f>
        <v>4.6499650681618689</v>
      </c>
      <c r="DG22" s="33">
        <f>(139.7+29.3+135.17)/DG16*100</f>
        <v>13.622073338946311</v>
      </c>
      <c r="DH22" s="33">
        <f>(10.84)/DH16*100</f>
        <v>0.48707936607788771</v>
      </c>
      <c r="DI22" s="33">
        <f>(41.05)/DI16*100</f>
        <v>1.8445210311344364</v>
      </c>
      <c r="DJ22" s="33">
        <f>19.97/DJ$16*100</f>
        <v>0.60423600605143724</v>
      </c>
      <c r="DK22" s="33">
        <f>152/DK$16*100</f>
        <v>4.5990922844175488</v>
      </c>
      <c r="DL22" s="33">
        <f>178.32/DL$16*100</f>
        <v>5.3954614220877453</v>
      </c>
      <c r="DM22" s="33">
        <f>5.3+0.7</f>
        <v>6</v>
      </c>
      <c r="DN22" s="33">
        <v>0.56000000000000005</v>
      </c>
      <c r="DO22" s="33">
        <v>0.6</v>
      </c>
      <c r="DP22" s="33">
        <v>6.9</v>
      </c>
      <c r="DQ22" s="33">
        <f>(67.9+227.5)/DQ$16*100</f>
        <v>1.0819613167696311</v>
      </c>
      <c r="DR22" s="33">
        <v>1.3</v>
      </c>
      <c r="DS22" s="33">
        <v>2.1</v>
      </c>
      <c r="DT22" s="33">
        <v>0.2</v>
      </c>
      <c r="DU22" s="33">
        <v>6.9</v>
      </c>
      <c r="DV22" s="33">
        <f>(278.2-150)/DV$16*100</f>
        <v>6.4157741967770994</v>
      </c>
      <c r="DW22" s="33">
        <v>1.6</v>
      </c>
      <c r="DX22" s="33">
        <v>2</v>
      </c>
      <c r="DY22" s="33">
        <f>(168.3)/DY$16*100</f>
        <v>3.5396554987696409</v>
      </c>
      <c r="DZ22" s="33">
        <f>(173.2)/DZ$16*100</f>
        <v>3.642711422382066</v>
      </c>
      <c r="EA22" s="33">
        <f>(173.2)/EA$16*100</f>
        <v>3.642711422382066</v>
      </c>
      <c r="EB22" s="33">
        <v>0.14000000000000001</v>
      </c>
      <c r="EC22" s="33">
        <f>(74.33)/EC$16*100</f>
        <v>0.93052078117175763</v>
      </c>
      <c r="ED22" s="33">
        <f>(16.65)/ED$16*100</f>
        <v>0.20843765648472706</v>
      </c>
      <c r="EE22" s="33">
        <v>0.53</v>
      </c>
      <c r="EF22" s="33">
        <v>1.05</v>
      </c>
      <c r="EG22" s="33">
        <v>0.54</v>
      </c>
      <c r="EH22" s="33">
        <v>0.68</v>
      </c>
      <c r="EL22" s="33">
        <f>(176)/EL16*100</f>
        <v>5.6050955414012744</v>
      </c>
      <c r="EM22" s="33">
        <f>ROUND((212.7+23.3)/EM16,4)*100</f>
        <v>7.4899999999999993</v>
      </c>
      <c r="EN22" s="33">
        <f>ROUND((227.9+40.3)/EN16,4)*100</f>
        <v>8.57</v>
      </c>
      <c r="EO22" s="33">
        <f>(41.77)/EO16*100</f>
        <v>5.9954069183292669</v>
      </c>
      <c r="EP22" s="33">
        <f>(62.46)/EP16*100</f>
        <v>5.7197802197802199</v>
      </c>
      <c r="EQ22" s="33">
        <f>(102.6)/EQ16*100</f>
        <v>9.395604395604396</v>
      </c>
      <c r="ER22" s="33">
        <v>7.42</v>
      </c>
      <c r="ES22" s="33">
        <v>7.85</v>
      </c>
      <c r="ET22" s="33">
        <v>4.7300000000000004</v>
      </c>
      <c r="EU22" s="33">
        <v>6.76</v>
      </c>
      <c r="EV22" s="33">
        <f>(3.05+27.11)*100/EV$16</f>
        <v>2.7129377265653813</v>
      </c>
      <c r="EW22" s="33">
        <f>(5.65+27.11)*100/EW$16</f>
        <v>2.4299065420560746</v>
      </c>
      <c r="EY22" s="33">
        <v>6.69</v>
      </c>
      <c r="EZ22" s="33">
        <v>26.5</v>
      </c>
      <c r="FA22" s="33">
        <v>26.5</v>
      </c>
      <c r="FB22" s="33">
        <v>26.5</v>
      </c>
      <c r="FC22" s="33">
        <v>26.91</v>
      </c>
      <c r="FD22" s="33">
        <f>(34.21+6.72)*100/FD$16</f>
        <v>0.27782680115665004</v>
      </c>
      <c r="FE22" s="33">
        <f>(204.1+77.23)*100/FE$16</f>
        <v>1.9096265323576926</v>
      </c>
      <c r="FF22" s="33">
        <f>(4.63+270.5)/FF$16*100</f>
        <v>4.2119041058142761</v>
      </c>
      <c r="FG22" s="33">
        <f>(8.84+10.14+338.8)/FG$16*100</f>
        <v>5.4771746119224796</v>
      </c>
      <c r="FH22" s="33">
        <f>(12.23+10.14+539.7)/FH$16*100</f>
        <v>8.4830511032630032</v>
      </c>
      <c r="FI22" s="33">
        <f>(423.26+9.36+5.34+3.6+2.3+3.56+0.41+6.25+111.34)/FI$16*100</f>
        <v>8.1325322866220713</v>
      </c>
      <c r="FJ22" s="33">
        <f>(570.78*0.75+3.85+4.05+3.63+0.19+0.46)/FJ$16*100</f>
        <v>9.6555694453582479</v>
      </c>
      <c r="FK22" s="33">
        <f>(888.69*0.75+3.85+4.05+3.63+0.19+0.46)/FK$16*100</f>
        <v>14.884696361602739</v>
      </c>
      <c r="FL22" s="33">
        <f>60/FL16*100</f>
        <v>2.2945428123446403</v>
      </c>
      <c r="FM22" s="33">
        <f>61/FM16*100</f>
        <v>2.3327851925503844</v>
      </c>
      <c r="FN22" s="33">
        <v>12.6</v>
      </c>
      <c r="FO22" s="33">
        <v>5.4</v>
      </c>
      <c r="FQ22" s="33">
        <f>(93.88)/FQ16*100</f>
        <v>11.641865079365079</v>
      </c>
      <c r="FR22" s="33">
        <f>(56.11+1.68)/FR16*100</f>
        <v>2.9475069365105266</v>
      </c>
      <c r="FS22" s="33">
        <f>(56.11+1.68)/FS16*100</f>
        <v>2.9475069365105266</v>
      </c>
      <c r="FT22" s="33">
        <f>81.23/FT16*100</f>
        <v>4.1756411508587234</v>
      </c>
      <c r="FU22" s="33">
        <f>83.77/FU16*100</f>
        <v>4.1366062742890435</v>
      </c>
      <c r="FV22" s="33">
        <f>86.54/FV16*100</f>
        <v>4.2733903184549833</v>
      </c>
      <c r="GQ22" s="33">
        <f>(1959.52)/GQ$16*100-GQ20-GQ24</f>
        <v>19.511803400320307</v>
      </c>
      <c r="GR22" s="33">
        <f>(2375.75)/GR$16*100-GR20-GR24</f>
        <v>23.482387643753562</v>
      </c>
      <c r="GT22" s="33">
        <f>(250.3-GT20)/GT16*100</f>
        <v>11.45882035076102</v>
      </c>
      <c r="GU22" s="33">
        <f>(370.6-GU20)/GU16*100</f>
        <v>17.010448091963877</v>
      </c>
      <c r="GZ22" s="33">
        <v>14.25</v>
      </c>
      <c r="HA22" s="33">
        <v>7.02</v>
      </c>
      <c r="HB22" s="33">
        <v>9.58</v>
      </c>
      <c r="HC22" s="33">
        <v>5.43</v>
      </c>
      <c r="HD22" s="33">
        <v>7.93</v>
      </c>
      <c r="HE22" s="33">
        <v>9.59</v>
      </c>
      <c r="HF22" s="33">
        <v>10.130000000000001</v>
      </c>
      <c r="HG22" s="33">
        <v>7.55</v>
      </c>
      <c r="HH22" s="33">
        <v>16.670000000000002</v>
      </c>
      <c r="HI22" s="33">
        <v>14.48</v>
      </c>
      <c r="HJ22" s="33">
        <v>14.19</v>
      </c>
      <c r="HK22" s="33">
        <v>24.4</v>
      </c>
      <c r="HL22" s="33">
        <v>16.02</v>
      </c>
      <c r="HM22" s="33">
        <v>16.89</v>
      </c>
      <c r="HN22" s="33">
        <v>6.83</v>
      </c>
      <c r="HO22" s="33">
        <v>13.91</v>
      </c>
      <c r="HP22" s="33">
        <v>5.09</v>
      </c>
      <c r="HQ22" s="33">
        <v>8.9</v>
      </c>
      <c r="HR22" s="33">
        <v>0.89</v>
      </c>
      <c r="HS22" s="33">
        <v>1.69</v>
      </c>
      <c r="HT22" s="33">
        <v>11.24</v>
      </c>
      <c r="HU22" s="33">
        <v>9.83</v>
      </c>
      <c r="HV22" s="33">
        <v>20.64</v>
      </c>
      <c r="HW22" s="33">
        <v>17.55</v>
      </c>
      <c r="HX22" s="33">
        <v>3.43</v>
      </c>
      <c r="HY22" s="33">
        <v>1.69</v>
      </c>
      <c r="HZ22" s="33">
        <v>5.87</v>
      </c>
      <c r="IA22" s="33">
        <v>5.55</v>
      </c>
      <c r="IB22" s="33">
        <v>5.98</v>
      </c>
      <c r="IC22" s="33">
        <v>7.59</v>
      </c>
      <c r="ID22" s="33">
        <v>6.45</v>
      </c>
      <c r="IE22" s="33">
        <v>14.15</v>
      </c>
      <c r="IF22" s="33">
        <v>16.91</v>
      </c>
      <c r="IG22" s="33">
        <v>15.11</v>
      </c>
      <c r="IH22" s="33">
        <v>2.77</v>
      </c>
      <c r="II22" s="33">
        <v>1.7</v>
      </c>
      <c r="IM22" s="33">
        <v>2.7</v>
      </c>
      <c r="IN22" s="33">
        <v>3.6</v>
      </c>
      <c r="IO22" s="33">
        <v>0</v>
      </c>
      <c r="IP22" s="33">
        <v>0.02</v>
      </c>
      <c r="IQ22" s="33">
        <v>0.02</v>
      </c>
      <c r="IR22" s="33">
        <v>3.3</v>
      </c>
      <c r="IS22" s="33">
        <f>284.01/IS16*100</f>
        <v>0.54111737565789175</v>
      </c>
      <c r="IT22" s="33">
        <f>288.93/IT16*100</f>
        <v>0.55049133251939963</v>
      </c>
      <c r="IU22" s="33">
        <f>0.02</f>
        <v>0.02</v>
      </c>
      <c r="IV22" s="33">
        <v>0.03</v>
      </c>
      <c r="IW22" s="33">
        <f>219.7/IW16*100</f>
        <v>1.4920001086572676</v>
      </c>
      <c r="IX22" s="33">
        <f>224/IX16*100</f>
        <v>1.5212017493820116</v>
      </c>
      <c r="IY22" s="33">
        <f>(726.83+58.51)/IY$16*100</f>
        <v>7.1798313058710175</v>
      </c>
      <c r="IZ22" s="33">
        <f>(900.14+63.48)/IZ$16*100</f>
        <v>8.7843948045886489</v>
      </c>
      <c r="JB22" s="33">
        <f>2.9/JB16*100</f>
        <v>6.8413813928580695E-3</v>
      </c>
      <c r="JC22" s="33">
        <f>22.2/JC16*100</f>
        <v>5.2371954110844533E-2</v>
      </c>
    </row>
    <row r="23" spans="1:263" s="33" customFormat="1" x14ac:dyDescent="0.3">
      <c r="A23" s="34" t="s">
        <v>121</v>
      </c>
      <c r="B23" s="33">
        <v>8</v>
      </c>
      <c r="C23" s="33">
        <f>100-C18-C19-C20-C21-C22-C24</f>
        <v>9.1100000000000101</v>
      </c>
      <c r="D23" s="33">
        <f>100-D18-D19-D21-D20-D24-D22</f>
        <v>3.7000000000000011</v>
      </c>
      <c r="E23" s="33">
        <f>100-E18-E19-E21-E20-E24-E22</f>
        <v>6.0999999999999961</v>
      </c>
      <c r="F23" s="33">
        <f t="shared" ref="F23:L23" si="6">100-F18-F19-F21-F20-F24-F22</f>
        <v>34.300000000000011</v>
      </c>
      <c r="G23" s="33">
        <f t="shared" si="6"/>
        <v>37.299999999999997</v>
      </c>
      <c r="H23" s="33">
        <f t="shared" si="6"/>
        <v>23.7</v>
      </c>
      <c r="I23" s="33">
        <f t="shared" si="6"/>
        <v>51.64</v>
      </c>
      <c r="J23" s="33">
        <f>100-J18-J19-J21-J20-J24-J22</f>
        <v>47.41999999999998</v>
      </c>
      <c r="K23" s="33">
        <f t="shared" si="6"/>
        <v>20.459999999999987</v>
      </c>
      <c r="L23" s="33">
        <f t="shared" si="6"/>
        <v>24.61037348930974</v>
      </c>
      <c r="M23" s="33">
        <f t="shared" ref="M23:N23" si="7">100-M18-M19-M21-M20-M24-M22</f>
        <v>64.099999999999994</v>
      </c>
      <c r="N23" s="33">
        <f t="shared" si="7"/>
        <v>63.000000000000007</v>
      </c>
      <c r="P23" s="33">
        <f>0.4+36</f>
        <v>36.4</v>
      </c>
      <c r="Q23" s="33">
        <v>0.4</v>
      </c>
      <c r="R23" s="33">
        <f>100-R18-R19-R20-R21-R22-R24</f>
        <v>60.20869565217393</v>
      </c>
      <c r="S23" s="33">
        <f>100-S18-S19-S20-S21-S22-S24</f>
        <v>56.22999999999999</v>
      </c>
      <c r="T23" s="33">
        <f t="shared" ref="T23:AO23" si="8">100-T18-T19-T20-T21-T22-T24</f>
        <v>54.170000000000016</v>
      </c>
      <c r="U23" s="33">
        <f t="shared" si="8"/>
        <v>46.989999999999988</v>
      </c>
      <c r="V23" s="33">
        <f t="shared" si="8"/>
        <v>40.379999999999995</v>
      </c>
      <c r="W23" s="33">
        <f t="shared" si="8"/>
        <v>37.110000000000007</v>
      </c>
      <c r="X23" s="33">
        <f t="shared" si="8"/>
        <v>52.185365853658517</v>
      </c>
      <c r="Y23" s="33">
        <f t="shared" si="8"/>
        <v>41.675861838365591</v>
      </c>
      <c r="Z23" s="33">
        <f t="shared" si="8"/>
        <v>19.732838465910973</v>
      </c>
      <c r="AA23" s="33">
        <f t="shared" si="8"/>
        <v>11.641087370849618</v>
      </c>
      <c r="AB23" s="33">
        <f t="shared" si="8"/>
        <v>2.5698305255555312</v>
      </c>
      <c r="AC23" s="33">
        <f t="shared" si="8"/>
        <v>83.254913357459017</v>
      </c>
      <c r="AD23" s="33">
        <f t="shared" si="8"/>
        <v>79.558795376911775</v>
      </c>
      <c r="AE23" s="33">
        <f t="shared" si="8"/>
        <v>84.504907845979773</v>
      </c>
      <c r="AF23" s="33">
        <f t="shared" si="8"/>
        <v>82.110783190959097</v>
      </c>
      <c r="AG23" s="33">
        <f t="shared" si="8"/>
        <v>43.989999999999995</v>
      </c>
      <c r="AH23" s="33">
        <f t="shared" si="8"/>
        <v>41.17</v>
      </c>
      <c r="AI23" s="33">
        <f t="shared" si="8"/>
        <v>38.040000000000006</v>
      </c>
      <c r="AJ23" s="33">
        <f t="shared" si="8"/>
        <v>66.16</v>
      </c>
      <c r="AK23" s="33">
        <f>100-AK18-AK19-AK20-AK21-AK22-AK24</f>
        <v>71.489999999999981</v>
      </c>
      <c r="AL23" s="33">
        <f t="shared" si="8"/>
        <v>64.210000000000008</v>
      </c>
      <c r="AM23" s="33">
        <f t="shared" si="8"/>
        <v>76.33983594712906</v>
      </c>
      <c r="AN23" s="33">
        <f t="shared" si="8"/>
        <v>42.640996217433802</v>
      </c>
      <c r="AO23" s="33">
        <f t="shared" si="8"/>
        <v>34.157847762335834</v>
      </c>
      <c r="AP23" s="33">
        <f>67.2</f>
        <v>67.2</v>
      </c>
      <c r="AQ23" s="33">
        <f t="shared" ref="AQ23:AR23" si="9">67.2</f>
        <v>67.2</v>
      </c>
      <c r="AR23" s="33">
        <f t="shared" si="9"/>
        <v>67.2</v>
      </c>
      <c r="AS23" s="33">
        <f t="shared" ref="AS23" si="10">100-AS18-AS19-AS21-AS20-AS24-AS22</f>
        <v>57.075281574730226</v>
      </c>
      <c r="AT23" s="33">
        <f t="shared" ref="AT23:BA23" si="11">100-AT18-AT19-AT21-AT20-AT24-AT22</f>
        <v>58.445281574730224</v>
      </c>
      <c r="AU23" s="33">
        <f t="shared" si="11"/>
        <v>57.844456666318621</v>
      </c>
      <c r="AV23" s="33">
        <f t="shared" si="11"/>
        <v>61.89109973058833</v>
      </c>
      <c r="AW23" s="33">
        <f t="shared" si="11"/>
        <v>59.097576863782685</v>
      </c>
      <c r="AX23" s="33">
        <f t="shared" si="11"/>
        <v>56.600848028286698</v>
      </c>
      <c r="AY23" s="33">
        <f t="shared" si="11"/>
        <v>76.223706310485483</v>
      </c>
      <c r="AZ23" s="33">
        <f t="shared" si="11"/>
        <v>72.787031112532986</v>
      </c>
      <c r="BA23" s="33">
        <f t="shared" si="11"/>
        <v>0.46521321685687944</v>
      </c>
      <c r="BB23" s="33">
        <v>0</v>
      </c>
      <c r="BC23" s="33">
        <v>0</v>
      </c>
      <c r="BG23" s="33">
        <f t="shared" ref="BG23" si="12">100-BG18-BG19-BG21-BG20-BG24-BG22</f>
        <v>39.500000000000007</v>
      </c>
      <c r="BH23" s="33">
        <f t="shared" ref="BH23" si="13">100-BH18-BH19-BH21-BH20-BH24-BH22</f>
        <v>46.7</v>
      </c>
      <c r="BI23" s="33">
        <f t="shared" ref="BI23:BM23" si="14">100-BI18-BI19-BI21-BI20-BI24-BI22</f>
        <v>46.900000000000006</v>
      </c>
      <c r="BJ23" s="33">
        <f t="shared" si="14"/>
        <v>88.87902435346453</v>
      </c>
      <c r="BK23" s="33">
        <f t="shared" si="14"/>
        <v>72.915629947975575</v>
      </c>
      <c r="BL23" s="33">
        <f t="shared" si="14"/>
        <v>53.670361155093104</v>
      </c>
      <c r="BM23" s="33">
        <f t="shared" si="14"/>
        <v>49.389655432405931</v>
      </c>
      <c r="BO23" s="33">
        <f>100-BO18-BO19-BO21-BO20-BO24-BO22</f>
        <v>64.793193844361383</v>
      </c>
      <c r="BP23" s="33">
        <f>100-BP18-BP19-BP21-BP20-BP24-BP22</f>
        <v>58.606000291276274</v>
      </c>
      <c r="BQ23" s="33">
        <f t="shared" ref="BQ23:CN23" si="15">100-BQ18-BQ19-BQ21-BQ20-BQ24-BQ22</f>
        <v>13.005793234987511</v>
      </c>
      <c r="BR23" s="33">
        <f t="shared" si="15"/>
        <v>13.718909281995964</v>
      </c>
      <c r="BS23" s="33">
        <f t="shared" si="15"/>
        <v>13.718909281995964</v>
      </c>
      <c r="BT23" s="33">
        <f t="shared" si="15"/>
        <v>34.165203295961106</v>
      </c>
      <c r="BU23" s="33">
        <f t="shared" si="15"/>
        <v>29.088738559490636</v>
      </c>
      <c r="BV23" s="33">
        <f t="shared" si="15"/>
        <v>28.027518294944876</v>
      </c>
      <c r="BW23" s="33">
        <f t="shared" si="15"/>
        <v>32.677244426591685</v>
      </c>
      <c r="BX23" s="33">
        <f t="shared" si="15"/>
        <v>4.8240992917215628</v>
      </c>
      <c r="BY23" s="33">
        <f>100-BY18-BY19-BY21-BY20-BY24-BY22</f>
        <v>5.2825573876188585</v>
      </c>
      <c r="BZ23" s="33">
        <f>100-BZ18-BZ19-BZ21-BZ20-BZ24-BZ22</f>
        <v>17.274289892783536</v>
      </c>
      <c r="CA23" s="33">
        <f t="shared" si="15"/>
        <v>7.5934701474819759</v>
      </c>
      <c r="CC23" s="33">
        <f t="shared" si="15"/>
        <v>13.736953362399261</v>
      </c>
      <c r="CD23" s="33">
        <f t="shared" si="15"/>
        <v>23.279558607454504</v>
      </c>
      <c r="CE23" s="33">
        <f>100-CE18-CE19-CE21-CE20-CE24-CE22</f>
        <v>23.704758763381228</v>
      </c>
      <c r="CF23" s="33">
        <f t="shared" ref="CF23:CH23" si="16">100-CF18-CF19-CF21-CF20-CF24-CF22</f>
        <v>0.29085378380231042</v>
      </c>
      <c r="CG23" s="33">
        <f t="shared" si="16"/>
        <v>9.2672755386333741</v>
      </c>
      <c r="CH23" s="33">
        <f t="shared" si="16"/>
        <v>40.719474669289092</v>
      </c>
      <c r="CJ23" s="33">
        <f t="shared" si="15"/>
        <v>43.95</v>
      </c>
      <c r="CK23" s="33">
        <f t="shared" si="15"/>
        <v>43.900000000000006</v>
      </c>
      <c r="CL23" s="33">
        <f t="shared" si="15"/>
        <v>69.88000000000001</v>
      </c>
      <c r="CM23" s="33">
        <f t="shared" si="15"/>
        <v>69.88000000000001</v>
      </c>
      <c r="CN23" s="33">
        <f t="shared" si="15"/>
        <v>49.338163149265718</v>
      </c>
      <c r="CO23" s="33">
        <f>100-CO18-CO19-CO21-CO20-CO24-CO22</f>
        <v>2.604844035197436</v>
      </c>
      <c r="CP23" s="33">
        <f>100-CP18-CP19-CP21-CP20-CP24-CP22</f>
        <v>2.5919976791603005</v>
      </c>
      <c r="CR23" s="33">
        <f>1.3+2.7</f>
        <v>4</v>
      </c>
      <c r="CT23" s="33">
        <f>100-CT18-CT19-CT20-CT21-CT22-CT24</f>
        <v>30.099999999999994</v>
      </c>
      <c r="CU23" s="33">
        <f t="shared" ref="CU23:CV23" si="17">100-CU18-CU19-CU20-CU21-CU22-CU24</f>
        <v>16.399999999999999</v>
      </c>
      <c r="CV23" s="33">
        <f t="shared" si="17"/>
        <v>14.399999999999999</v>
      </c>
      <c r="CY23" s="33">
        <f t="shared" ref="CY23" si="18">100-CY18-CY19-CY21-CY20-CY24-CY22</f>
        <v>24.739999999999995</v>
      </c>
      <c r="CZ23" s="33">
        <f>100-CZ18-CZ19-CZ21-CZ20-CZ24-CZ22</f>
        <v>1.0500000000000052</v>
      </c>
      <c r="DA23" s="33">
        <f t="shared" ref="DA23:DG23" si="19">100-DA18-DA19-DA21-DA20-DA24-DA22</f>
        <v>29.500000000000011</v>
      </c>
      <c r="DB23" s="33">
        <f t="shared" si="19"/>
        <v>29.390000000000008</v>
      </c>
      <c r="DC23" s="33">
        <f t="shared" si="19"/>
        <v>0.81820497804775272</v>
      </c>
      <c r="DD23" s="33">
        <f t="shared" si="19"/>
        <v>0.5917345747021443</v>
      </c>
      <c r="DE23" s="33">
        <f t="shared" si="19"/>
        <v>22.666284506386273</v>
      </c>
      <c r="DF23" s="33">
        <f t="shared" si="19"/>
        <v>21.559213944073228</v>
      </c>
      <c r="DG23" s="33">
        <f t="shared" si="19"/>
        <v>32.197750031349102</v>
      </c>
      <c r="DH23" s="33">
        <f t="shared" ref="DH23:DP23" si="20">100-DH18-DH19-DH21-DH20-DH24-DH22</f>
        <v>69.347250742526427</v>
      </c>
      <c r="DI23" s="33">
        <f t="shared" si="20"/>
        <v>48.989669783555229</v>
      </c>
      <c r="DJ23" s="33">
        <f t="shared" si="20"/>
        <v>46.041149773071098</v>
      </c>
      <c r="DK23" s="33">
        <f t="shared" si="20"/>
        <v>42.411618759455351</v>
      </c>
      <c r="DL23" s="33">
        <f t="shared" si="20"/>
        <v>40.263842662632385</v>
      </c>
      <c r="DM23" s="33">
        <f t="shared" si="20"/>
        <v>42.8</v>
      </c>
      <c r="DN23" s="33">
        <f t="shared" si="20"/>
        <v>73.79328163632276</v>
      </c>
      <c r="DO23" s="33">
        <f t="shared" si="20"/>
        <v>79.303281636322765</v>
      </c>
      <c r="DP23" s="33">
        <f t="shared" si="20"/>
        <v>64.641919532479193</v>
      </c>
      <c r="DQ23" s="33">
        <f t="shared" ref="DQ23:DV23" si="21">100-DQ18-DQ19-DQ21-DQ20-DQ24-DQ22</f>
        <v>89.273529270643053</v>
      </c>
      <c r="DR23" s="33">
        <f t="shared" si="21"/>
        <v>88.4</v>
      </c>
      <c r="DS23" s="33">
        <f t="shared" si="21"/>
        <v>87.6</v>
      </c>
      <c r="DT23" s="33">
        <f t="shared" si="21"/>
        <v>48.499999999999993</v>
      </c>
      <c r="DU23" s="33">
        <f t="shared" si="21"/>
        <v>34.860000000000007</v>
      </c>
      <c r="DV23" s="33">
        <f t="shared" si="21"/>
        <v>36.568775898308495</v>
      </c>
      <c r="DW23" s="33">
        <f>100-DW18-DW19-DW21-DW20-DW24-DW22-50</f>
        <v>3.2999999999999972</v>
      </c>
      <c r="DX23" s="33">
        <f>100-DX18-DX19-DX21-DX20-DX24-DX22-50</f>
        <v>3.1999999999999957</v>
      </c>
      <c r="DY23" s="33">
        <f>100-DY18-DY19-DY21-DY20-DY24-DY22</f>
        <v>37.043346583380618</v>
      </c>
      <c r="DZ23" s="33">
        <f t="shared" ref="DZ23:EB23" si="22">100-DZ18-DZ19-DZ21-DZ20-DZ24-DZ22</f>
        <v>38.288430395187888</v>
      </c>
      <c r="EA23" s="33">
        <f t="shared" si="22"/>
        <v>38.288430395187888</v>
      </c>
      <c r="EB23" s="33">
        <f t="shared" si="22"/>
        <v>26.879999999999995</v>
      </c>
      <c r="EC23" s="33">
        <f t="shared" ref="EC23" si="23">100-EC18-EC19-EC21-EC20-EC24-EC22</f>
        <v>29.024912368552819</v>
      </c>
      <c r="ED23" s="33">
        <f t="shared" ref="ED23" si="24">100-ED18-ED19-ED21-ED20-ED24-ED22</f>
        <v>29.591762643965943</v>
      </c>
      <c r="EE23" s="33">
        <f>100-EE18-EE19-EE21-EE20-EE24-EE22</f>
        <v>56.999999999999993</v>
      </c>
      <c r="EF23" s="33">
        <f>100-EF18-EF19-EF21-EF20-EF24-EF22</f>
        <v>53.940000000000005</v>
      </c>
      <c r="EG23" s="33">
        <f>100-EG18-EG19-EG21-EG20-EG24-EG22</f>
        <v>7.5600000000000085</v>
      </c>
      <c r="EH23" s="33">
        <f>100-EH18-EH19-EH21-EH20-EH24-EH22</f>
        <v>7.6000000000000156</v>
      </c>
      <c r="EL23" s="33">
        <f>100-EL18-EL19-EL21-EL20-EL24-EL22</f>
        <v>4.094904458598732</v>
      </c>
      <c r="EM23" s="33">
        <f t="shared" ref="EM23:EN23" si="25">100-EM18-EM19-EM21-EM20-EM24-EM22</f>
        <v>25.41</v>
      </c>
      <c r="EN23" s="33">
        <f t="shared" si="25"/>
        <v>21.299999999999994</v>
      </c>
      <c r="EO23" s="33">
        <f>158.1/EO16*100</f>
        <v>22.692694129467487</v>
      </c>
      <c r="EP23" s="33">
        <f>141.12/EP16*100</f>
        <v>12.923076923076923</v>
      </c>
      <c r="EQ23" s="33">
        <f>32.38/EQ16*100</f>
        <v>2.9652014652014653</v>
      </c>
      <c r="ER23" s="33">
        <f t="shared" ref="ER23:ES23" si="26">100-ER18-ER19-ER20-ER21-ER24-ER22</f>
        <v>6.2199999999999935</v>
      </c>
      <c r="ES23" s="33">
        <f t="shared" si="26"/>
        <v>7.9099999999999913</v>
      </c>
      <c r="ET23" s="33">
        <f>100-ET18-ET19-ET20-ET21-ET24-ET22</f>
        <v>11.02999999999999</v>
      </c>
      <c r="EU23" s="33">
        <f t="shared" ref="EU23" si="27">100-EU18-EU19-EU20-EU21-EU24-EU22</f>
        <v>4.8800000000000079</v>
      </c>
      <c r="EV23" s="33">
        <f t="shared" ref="EV23" si="28">100-EV18-EV19-EV20-EV21-EV24-EV22</f>
        <v>13.67083142186361</v>
      </c>
      <c r="EW23" s="33">
        <f t="shared" ref="EW23" si="29">100-EW18-EW19-EW20-EW21-EW24-EW22</f>
        <v>12.066458982346841</v>
      </c>
      <c r="EY23" s="33">
        <f>100-EY18-EY19-EY20-EY21-EY24-EY22-42</f>
        <v>3.9500000000000099</v>
      </c>
      <c r="EZ23" s="33">
        <f>100-EZ18-EZ19-EZ20-EZ21-EZ24-EZ22</f>
        <v>14.429999999999993</v>
      </c>
      <c r="FA23" s="33">
        <f>100-FA18-FA19-FA20-FA21-FA24-FA22</f>
        <v>14.429999999999993</v>
      </c>
      <c r="FB23" s="33">
        <f t="shared" ref="FB23:FC23" si="30">100-FB18-FB19-FB20-FB21-FB24-FB22</f>
        <v>14.389999999999993</v>
      </c>
      <c r="FC23" s="33">
        <f t="shared" si="30"/>
        <v>10.589999999999993</v>
      </c>
      <c r="FD23" s="33">
        <f t="shared" ref="FD23:FE23" si="31">100-FD18-FD19-FD20-FD21-FD24-FD22</f>
        <v>7.6722417561531913</v>
      </c>
      <c r="FE23" s="33">
        <f t="shared" si="31"/>
        <v>5.5312852119846374</v>
      </c>
      <c r="FF23" s="33">
        <f t="shared" ref="FF23:FO23" si="32">100-FF18-FF19-FF21-FF20-FF24-FF22</f>
        <v>15.158752028413041</v>
      </c>
      <c r="FG23" s="33">
        <f t="shared" si="32"/>
        <v>9.207005296837167</v>
      </c>
      <c r="FH23" s="33">
        <f t="shared" si="32"/>
        <v>4.2642397899121445</v>
      </c>
      <c r="FI23" s="33">
        <f t="shared" si="32"/>
        <v>0.77798569449857702</v>
      </c>
      <c r="FJ23" s="33">
        <f t="shared" si="32"/>
        <v>20.717591069587904</v>
      </c>
      <c r="FK23" s="33">
        <f t="shared" si="32"/>
        <v>15.695988771191072</v>
      </c>
      <c r="FL23" s="33">
        <f t="shared" si="32"/>
        <v>18.536081685724124</v>
      </c>
      <c r="FM23" s="33">
        <f t="shared" si="32"/>
        <v>9.2584802478106223</v>
      </c>
      <c r="FN23" s="33">
        <f t="shared" si="32"/>
        <v>6.3999999999999968</v>
      </c>
      <c r="FO23" s="33">
        <f t="shared" si="32"/>
        <v>0.1000000000000032</v>
      </c>
      <c r="FQ23" s="33">
        <f t="shared" ref="FQ23:GR23" si="33">100-FQ18-FQ19-FQ20-FQ21-FQ22-FQ24</f>
        <v>-108.01959325396825</v>
      </c>
      <c r="FR23" s="33">
        <f t="shared" si="33"/>
        <v>5.713440509221499</v>
      </c>
      <c r="FS23" s="33">
        <f t="shared" si="33"/>
        <v>5.713440509221499</v>
      </c>
      <c r="FT23" s="33">
        <f t="shared" si="33"/>
        <v>18.28121706856934</v>
      </c>
      <c r="FU23" s="33">
        <f t="shared" si="33"/>
        <v>12.002923326864474</v>
      </c>
      <c r="FV23" s="33">
        <f t="shared" si="33"/>
        <v>5.8219634682902939</v>
      </c>
      <c r="GQ23" s="33">
        <f t="shared" si="33"/>
        <v>26.004239090111209</v>
      </c>
      <c r="GR23" s="33">
        <f t="shared" si="33"/>
        <v>22.240067318741573</v>
      </c>
      <c r="GT23" s="33">
        <f t="shared" ref="GT23" si="34">100-GT18-GT19-GT20-GT21-GT22-GT24</f>
        <v>25.369099162227503</v>
      </c>
      <c r="GU23" s="33">
        <f>100-GU18-GU19-GU20-GU21-GU22-GU24</f>
        <v>16.266219991334037</v>
      </c>
      <c r="GZ23" s="33">
        <f>100-SUM(GZ18:GZ22,GZ24)</f>
        <v>11.259999999999991</v>
      </c>
      <c r="HA23" s="33">
        <f>100-SUM(HA18:HA22,HA24)</f>
        <v>9.7099999999999937</v>
      </c>
      <c r="HB23" s="33">
        <f t="shared" ref="HB23:HC23" si="35">100-SUM(HB18:HB22,HB24)</f>
        <v>30.879999999999995</v>
      </c>
      <c r="HC23" s="33">
        <f t="shared" si="35"/>
        <v>11.02000000000001</v>
      </c>
      <c r="HD23" s="33">
        <f t="shared" ref="HD23" si="36">100-SUM(HD18:HD22,HD24)</f>
        <v>15.939999999999998</v>
      </c>
      <c r="HE23" s="33">
        <f t="shared" ref="HE23" si="37">100-SUM(HE18:HE22,HE24)</f>
        <v>8.3199999999999932</v>
      </c>
      <c r="HF23" s="33">
        <f t="shared" ref="HF23" si="38">100-SUM(HF18:HF22,HF24)</f>
        <v>7.2999999999999972</v>
      </c>
      <c r="HG23" s="33">
        <f t="shared" ref="HG23" si="39">100-SUM(HG18:HG22,HG24)</f>
        <v>3.8400000000000034</v>
      </c>
      <c r="HH23" s="33">
        <f t="shared" ref="HH23" si="40">100-SUM(HH18:HH22,HH24)</f>
        <v>18.159999999999997</v>
      </c>
      <c r="HI23" s="33">
        <f t="shared" ref="HI23" si="41">100-SUM(HI18:HI22,HI24)</f>
        <v>16.949999999999989</v>
      </c>
      <c r="HJ23" s="33">
        <f t="shared" ref="HJ23" si="42">100-SUM(HJ18:HJ22,HJ24)</f>
        <v>35</v>
      </c>
      <c r="HK23" s="33">
        <f t="shared" ref="HK23" si="43">100-SUM(HK18:HK22,HK24)</f>
        <v>15.030000000000015</v>
      </c>
      <c r="HL23" s="33">
        <f t="shared" ref="HL23" si="44">100-SUM(HL18:HL22,HL24)</f>
        <v>23.11</v>
      </c>
      <c r="HM23" s="33">
        <f t="shared" ref="HM23" si="45">100-SUM(HM18:HM22,HM24)</f>
        <v>10.5</v>
      </c>
      <c r="HN23" s="33">
        <f t="shared" ref="HN23" si="46">100-SUM(HN18:HN22,HN24)</f>
        <v>25.080000000000013</v>
      </c>
      <c r="HO23" s="33">
        <f t="shared" ref="HO23" si="47">100-SUM(HO18:HO22,HO24)</f>
        <v>12.521000000000001</v>
      </c>
      <c r="HP23" s="33">
        <f t="shared" ref="HP23" si="48">100-SUM(HP18:HP22,HP24)</f>
        <v>48.480000000000004</v>
      </c>
      <c r="HQ23" s="33">
        <f t="shared" ref="HQ23" si="49">100-SUM(HQ18:HQ22,HQ24)</f>
        <v>22.97999999999999</v>
      </c>
      <c r="HR23" s="33">
        <f t="shared" ref="HR23" si="50">100-SUM(HR18:HR22,HR24)</f>
        <v>13.460000000000008</v>
      </c>
      <c r="HS23" s="33">
        <f t="shared" ref="HS23" si="51">100-SUM(HS18:HS22,HS24)</f>
        <v>6</v>
      </c>
      <c r="HT23" s="33">
        <f t="shared" ref="HT23" si="52">100-SUM(HT18:HT22,HT24)</f>
        <v>11.049999999999997</v>
      </c>
      <c r="HU23" s="33">
        <f t="shared" ref="HU23" si="53">100-SUM(HU18:HU22,HU24)</f>
        <v>3.7510000000000048</v>
      </c>
      <c r="HV23" s="33">
        <f t="shared" ref="HV23" si="54">100-SUM(HV18:HV22,HV24)</f>
        <v>19.459999999999994</v>
      </c>
      <c r="HW23" s="33">
        <f t="shared" ref="HW23" si="55">100-SUM(HW18:HW22,HW24)</f>
        <v>10.510000000000005</v>
      </c>
      <c r="HX23" s="33">
        <f t="shared" ref="HX23" si="56">100-SUM(HX18:HX22,HX24)</f>
        <v>25.289999999999992</v>
      </c>
      <c r="HY23" s="33">
        <f t="shared" ref="HY23" si="57">100-SUM(HY18:HY22,HY24)</f>
        <v>21.349999999999994</v>
      </c>
      <c r="HZ23" s="33">
        <f t="shared" ref="HZ23" si="58">100-SUM(HZ18:HZ22,HZ24)</f>
        <v>19.189999999999998</v>
      </c>
      <c r="IA23" s="33">
        <f t="shared" ref="IA23" si="59">100-SUM(IA18:IA22,IA24)</f>
        <v>6.480000000000004</v>
      </c>
      <c r="IB23" s="33">
        <f t="shared" ref="IB23" si="60">100-SUM(IB18:IB22,IB24)</f>
        <v>21.399999999999991</v>
      </c>
      <c r="IC23" s="33">
        <f t="shared" ref="IC23" si="61">100-SUM(IC18:IC22,IC24)</f>
        <v>5.3799999999999955</v>
      </c>
      <c r="ID23" s="33">
        <f t="shared" ref="ID23" si="62">100-SUM(ID18:ID22,ID24)</f>
        <v>17.310000000000002</v>
      </c>
      <c r="IE23" s="33">
        <f t="shared" ref="IE23" si="63">100-SUM(IE18:IE22,IE24)</f>
        <v>4.5799999999999983</v>
      </c>
      <c r="IF23" s="33">
        <f t="shared" ref="IF23" si="64">100-SUM(IF18:IF22,IF24)</f>
        <v>10.150000000000006</v>
      </c>
      <c r="IG23" s="33">
        <f t="shared" ref="IG23" si="65">100-SUM(IG18:IG22,IG24)</f>
        <v>6.8799999999999955</v>
      </c>
      <c r="IH23" s="33">
        <f t="shared" ref="IH23" si="66">100-SUM(IH18:IH22,IH24)</f>
        <v>14.960000000000008</v>
      </c>
      <c r="II23" s="33">
        <f t="shared" ref="II23" si="67">100-SUM(II18:II22,II24)</f>
        <v>13.999999999999986</v>
      </c>
      <c r="IM23" s="33">
        <f t="shared" ref="IM23" si="68">100-SUM(IM18:IM22,IM24)</f>
        <v>87.2</v>
      </c>
      <c r="IN23" s="33">
        <f t="shared" ref="IN23" si="69">100-SUM(IN18:IN22,IN24)</f>
        <v>56.3</v>
      </c>
      <c r="IO23" s="33">
        <f t="shared" ref="IO23" si="70">100-SUM(IO18:IO22,IO24)</f>
        <v>95.51</v>
      </c>
      <c r="IP23" s="33">
        <f t="shared" ref="IP23" si="71">100-SUM(IP18:IP22,IP24)</f>
        <v>85.62</v>
      </c>
      <c r="IQ23" s="33">
        <f t="shared" ref="IQ23" si="72">100-SUM(IQ18:IQ22,IQ24)</f>
        <v>86.38</v>
      </c>
      <c r="IR23" s="33">
        <f t="shared" ref="IR23" si="73">100-SUM(IR18:IR22,IR24)</f>
        <v>76.099999999999994</v>
      </c>
      <c r="IS23" s="33">
        <f t="shared" ref="IS23" si="74">100-SUM(IS18:IS22,IS24)</f>
        <v>80.162401897349838</v>
      </c>
      <c r="IT23" s="33">
        <f t="shared" ref="IT23" si="75">100-SUM(IT18:IT22,IT24)</f>
        <v>79.874781464867482</v>
      </c>
      <c r="IU23" s="33">
        <f t="shared" ref="IU23" si="76">100-SUM(IU18:IU22,IU24)</f>
        <v>71.19</v>
      </c>
      <c r="IV23" s="33">
        <f t="shared" ref="IV23" si="77">100-SUM(IV18:IV22,IV24)</f>
        <v>71.36</v>
      </c>
      <c r="IW23" s="33">
        <f t="shared" ref="IW23" si="78">100-SUM(IW18:IW22,IW24)</f>
        <v>62.427234241781122</v>
      </c>
      <c r="IX23" s="33">
        <f t="shared" ref="IX23" si="79">100-SUM(IX18:IX22,IX24)</f>
        <v>57.844528387510167</v>
      </c>
      <c r="IY23" s="33">
        <f t="shared" ref="IY23" si="80">100-SUM(IY18:IY22,IY24)</f>
        <v>51.057309560857696</v>
      </c>
      <c r="IZ23" s="33">
        <f t="shared" ref="IZ23" si="81">100-SUM(IZ18:IZ22,IZ24)</f>
        <v>49.087211295133493</v>
      </c>
      <c r="JB23" s="33">
        <f>100-SUM(JB18:JB22,JB24)</f>
        <v>83.436779738187425</v>
      </c>
      <c r="JC23" s="33">
        <f t="shared" ref="JC23" si="82">100-SUM(JC18:JC22,JC24)</f>
        <v>82.820111774017377</v>
      </c>
    </row>
    <row r="24" spans="1:263" s="33" customFormat="1" x14ac:dyDescent="0.3">
      <c r="A24" s="35" t="s">
        <v>190</v>
      </c>
      <c r="B24" s="33">
        <v>8</v>
      </c>
      <c r="C24" s="33">
        <v>5.89</v>
      </c>
      <c r="D24" s="33">
        <v>12.3</v>
      </c>
      <c r="E24" s="33">
        <v>8.9</v>
      </c>
      <c r="F24" s="33">
        <v>47.8</v>
      </c>
      <c r="G24" s="33">
        <v>35.200000000000003</v>
      </c>
      <c r="H24" s="33">
        <v>31.3</v>
      </c>
      <c r="I24" s="33">
        <f>27.52</f>
        <v>27.52</v>
      </c>
      <c r="J24" s="33">
        <v>18.260000000000002</v>
      </c>
      <c r="K24" s="33">
        <v>18.25</v>
      </c>
      <c r="L24" s="33">
        <f>(84.18+39.79+405.79)/L$16*100</f>
        <v>10.521653641049067</v>
      </c>
      <c r="M24" s="33">
        <v>6.6</v>
      </c>
      <c r="N24" s="33">
        <v>5.2</v>
      </c>
      <c r="P24" s="33">
        <v>0</v>
      </c>
      <c r="Q24" s="33">
        <v>0</v>
      </c>
      <c r="R24" s="33">
        <f>(124.3+572.8*0.5)/R16*100</f>
        <v>14.285217391304347</v>
      </c>
      <c r="S24" s="33">
        <v>15.19</v>
      </c>
      <c r="T24" s="33">
        <v>16.190000000000001</v>
      </c>
      <c r="U24" s="33">
        <v>11.57</v>
      </c>
      <c r="V24" s="33">
        <f>18.75</f>
        <v>18.75</v>
      </c>
      <c r="W24" s="33">
        <f>13.9</f>
        <v>13.9</v>
      </c>
      <c r="X24" s="33">
        <v>13.6</v>
      </c>
      <c r="Y24" s="33">
        <v>0</v>
      </c>
      <c r="Z24" s="33">
        <v>0</v>
      </c>
      <c r="AA24" s="33">
        <v>0</v>
      </c>
      <c r="AB24" s="33">
        <v>0</v>
      </c>
      <c r="AC24" s="33">
        <f>(1093.28)/AC$16*100</f>
        <v>12.608086944688546</v>
      </c>
      <c r="AD24" s="33">
        <f>(847.82)/AD$16*100</f>
        <v>9.7773564626132767</v>
      </c>
      <c r="AE24" s="33">
        <f>(898.65)/AE$16*100</f>
        <v>10.364083632325007</v>
      </c>
      <c r="AF24" s="33">
        <f>(674.41)/AF$16*100</f>
        <v>7.7779353947324408</v>
      </c>
      <c r="AG24" s="33">
        <v>32.159999999999997</v>
      </c>
      <c r="AH24" s="33">
        <v>18.78</v>
      </c>
      <c r="AI24" s="33">
        <v>18.78</v>
      </c>
      <c r="AJ24" s="33">
        <v>28.73</v>
      </c>
      <c r="AK24" s="33">
        <v>20.11</v>
      </c>
      <c r="AL24" s="33">
        <v>20.11</v>
      </c>
      <c r="AM24" s="33">
        <f>(31.4+8.9+1.4)/AM$16*100</f>
        <v>1.772281014917761</v>
      </c>
      <c r="AN24" s="33">
        <f>(31.4+74.2+1.4)/AN$16*100</f>
        <v>4.5475795826426957</v>
      </c>
      <c r="AO24" s="33">
        <f>(31.4+74.2+1.4)/AO$16*100</f>
        <v>4.5475795826426957</v>
      </c>
      <c r="AP24" s="33">
        <f>8.3+(1578.3)/AP16*100</f>
        <v>17.094864507932265</v>
      </c>
      <c r="AQ24" s="33">
        <f>7.5+(1493.6)/AQ16*100</f>
        <v>15.822885147974166</v>
      </c>
      <c r="AR24" s="33">
        <f>7.5+(1561.7)/AR16*100</f>
        <v>16.202363240219107</v>
      </c>
      <c r="AS24" s="33">
        <f>15.86+22.18</f>
        <v>38.04</v>
      </c>
      <c r="AT24" s="33">
        <f>14.73+21.04</f>
        <v>35.769999999999996</v>
      </c>
      <c r="AU24" s="33">
        <f>13.22+12.05</f>
        <v>25.270000000000003</v>
      </c>
      <c r="AV24" s="33">
        <v>33.42</v>
      </c>
      <c r="AW24" s="33">
        <v>30.23</v>
      </c>
      <c r="AX24" s="33">
        <v>30.45</v>
      </c>
      <c r="AY24" s="33">
        <v>0</v>
      </c>
      <c r="AZ24" s="33">
        <v>0</v>
      </c>
      <c r="BA24" s="33">
        <f>16.16*18284.89/$BA$16</f>
        <v>48.712360824215416</v>
      </c>
      <c r="BB24" s="33">
        <f>14.53*18284.89/$BB$16</f>
        <v>41.24445426432645</v>
      </c>
      <c r="BC24" s="33">
        <v>0</v>
      </c>
      <c r="BG24" s="33">
        <f>ROUND(288.16/BG16,3)*100</f>
        <v>9.4</v>
      </c>
      <c r="BH24" s="33">
        <f>ROUND(113.28/BH16,3)*100</f>
        <v>3.5000000000000004</v>
      </c>
      <c r="BI24" s="33">
        <f>ROUND(113.28/BI16,3)*100</f>
        <v>3.5000000000000004</v>
      </c>
      <c r="BJ24" s="33">
        <f>293.68/BJ16*100</f>
        <v>5.5357008218351806</v>
      </c>
      <c r="BK24" s="33">
        <f>250.23/BK16*100</f>
        <v>4.7166930558697127</v>
      </c>
      <c r="BL24" s="33">
        <f t="shared" ref="BL24" si="83">250.23/BL16*100</f>
        <v>4.7166930558697127</v>
      </c>
      <c r="BM24" s="33">
        <f>218.73/BM16*100</f>
        <v>4.1229359873331823</v>
      </c>
      <c r="BO24" s="33">
        <f>(1392.5)/BO16*100</f>
        <v>16.900092237487254</v>
      </c>
      <c r="BP24" s="33">
        <f>(1101.2)/BP16*100</f>
        <v>13.364726443031216</v>
      </c>
      <c r="BQ24" s="33">
        <f>(23.8878+69.523+9.2618)/BQ16*100</f>
        <v>18.025531807314451</v>
      </c>
      <c r="BR24" s="33">
        <f>(23.8878+56.9582+3.2259)/BR16*100</f>
        <v>10.193550624318132</v>
      </c>
      <c r="BS24" s="33">
        <f>(23.8878+56.9582+3.2259)/BS16*100</f>
        <v>10.193550624318132</v>
      </c>
      <c r="BT24" s="33">
        <f>(1559.3)/BT16*100</f>
        <v>52.657706335269474</v>
      </c>
      <c r="BU24" s="33">
        <f>(1383.4)/BU16*100</f>
        <v>42.345954880773832</v>
      </c>
      <c r="BV24" s="33">
        <f>(1319.7)/BV$16*100</f>
        <v>44.50477186119447</v>
      </c>
      <c r="BW24" s="33">
        <f>(1319.8)/BW$16*100</f>
        <v>44.178884648858542</v>
      </c>
      <c r="BX24" s="33">
        <f>11.4*BX16/(BX16-37805.5)</f>
        <v>52.264222932291631</v>
      </c>
      <c r="BY24" s="33">
        <f>10.1*BX16/(BX16-37805.5)</f>
        <v>46.304267685626797</v>
      </c>
      <c r="BZ24" s="33">
        <f>(4142.2)/BZ$16*100</f>
        <v>39.336758435342503</v>
      </c>
      <c r="CA24" s="33">
        <f>(4781.1)/CA$16*100</f>
        <v>45.404127216265763</v>
      </c>
      <c r="CC24" s="33">
        <f>(15.08+1+6.8+4+4.38+2.2+3+2305.8)/CC$16*100</f>
        <v>77.363588320782142</v>
      </c>
      <c r="CD24" s="33">
        <f>(59.88+1.5+10.2+12.8+10.28+8.5+2141.35)/CD$16*100</f>
        <v>67.303667276380096</v>
      </c>
      <c r="CE24" s="33">
        <f>(2.2+2141.35)/CE$16*100</f>
        <v>64.27629014363248</v>
      </c>
      <c r="CF24" s="33">
        <f>(2340.69)/CF$16*100</f>
        <v>84.361653433480257</v>
      </c>
      <c r="CG24" s="33">
        <f>2189.49/CG$16*100</f>
        <v>77.11834259086406</v>
      </c>
      <c r="CH24" s="33">
        <f>1308.58/CH$16*100</f>
        <v>46.124346597017343</v>
      </c>
      <c r="CJ24" s="33">
        <v>24.05</v>
      </c>
      <c r="CK24" s="33">
        <v>24.05</v>
      </c>
      <c r="CL24" s="33">
        <v>0</v>
      </c>
      <c r="CM24" s="33">
        <v>0</v>
      </c>
      <c r="CN24" s="33">
        <f>6.45*CN16/(CN16-60916.39)</f>
        <v>33.862056755154008</v>
      </c>
      <c r="CO24" s="33">
        <f>9.3*CN16/(CN16-59712.41)</f>
        <v>45.041021903165777</v>
      </c>
      <c r="CP24" s="33">
        <f>(9.3+(5.9+4.9)/CP16)*CO16/(CO16-59712.41)</f>
        <v>45.041716996578607</v>
      </c>
      <c r="CR24" s="33">
        <v>1.3</v>
      </c>
      <c r="CT24" s="33">
        <v>0</v>
      </c>
      <c r="CU24" s="33">
        <v>0</v>
      </c>
      <c r="CV24" s="33">
        <v>0</v>
      </c>
      <c r="CY24" s="33">
        <v>52.33</v>
      </c>
      <c r="CZ24" s="33">
        <v>52.4</v>
      </c>
      <c r="DA24" s="33">
        <f>29.29+11.16+0.91+0.3</f>
        <v>41.66</v>
      </c>
      <c r="DB24" s="33">
        <f>22.56+12.41+0.81+0.3</f>
        <v>36.08</v>
      </c>
      <c r="DC24" s="33">
        <f>100/DD16*5359.41</f>
        <v>44.32972039424709</v>
      </c>
      <c r="DD24" s="33">
        <f>100/DD16*4526.83</f>
        <v>37.443134257742841</v>
      </c>
      <c r="DE24" s="33">
        <f>(55.47+1416.39)/DE16*100</f>
        <v>65.916378553642758</v>
      </c>
      <c r="DF24" s="33">
        <f>(72.68+1077.48)/DF16*100</f>
        <v>51.509234544900849</v>
      </c>
      <c r="DG24" s="33">
        <f>(101.19+412.23)/DG16*100</f>
        <v>22.993210683768343</v>
      </c>
      <c r="DH24" s="33">
        <f t="shared" ref="DH24:DI24" si="84">(101.19+412.23)/DH16*100</f>
        <v>23.069768277832946</v>
      </c>
      <c r="DI24" s="33">
        <f t="shared" si="84"/>
        <v>23.069768277832946</v>
      </c>
      <c r="DJ24" s="33">
        <f>1358.03/DJ16*100</f>
        <v>41.090166414523452</v>
      </c>
      <c r="DK24" s="33">
        <f>1107.36/DK16*100</f>
        <v>33.505597579425114</v>
      </c>
      <c r="DL24" s="33">
        <f>1079.68/DL16*100</f>
        <v>32.668078668683812</v>
      </c>
      <c r="DM24" s="33">
        <v>28.8</v>
      </c>
      <c r="DN24" s="33">
        <v>22.3</v>
      </c>
      <c r="DO24" s="33">
        <v>12.3</v>
      </c>
      <c r="DP24" s="33">
        <v>8.1999999999999993</v>
      </c>
      <c r="DQ24" s="33">
        <f>(1962.18)/DQ$16*100</f>
        <v>7.1868749375051975</v>
      </c>
      <c r="DR24" s="33">
        <v>7.1</v>
      </c>
      <c r="DS24" s="33">
        <v>6.9</v>
      </c>
      <c r="DT24" s="33">
        <v>43.6</v>
      </c>
      <c r="DU24" s="33">
        <v>35.200000000000003</v>
      </c>
      <c r="DV24" s="33">
        <f>670.9/DV$16*100</f>
        <v>33.575217695926327</v>
      </c>
      <c r="DW24" s="33">
        <v>37.9</v>
      </c>
      <c r="DX24" s="33">
        <v>37.1</v>
      </c>
      <c r="DY24" s="33">
        <f>(1243.3)/DY$16*100</f>
        <v>26.148863230067104</v>
      </c>
      <c r="DZ24" s="33">
        <f>(1006.4)/DZ$16*100</f>
        <v>21.166424800723508</v>
      </c>
      <c r="EA24" s="33">
        <f>(1006.4)/EA$16*100</f>
        <v>21.166424800723508</v>
      </c>
      <c r="EB24" s="33">
        <v>60.47</v>
      </c>
      <c r="EC24" s="33">
        <f>(4416.1)/EC$16*100</f>
        <v>55.284176264396599</v>
      </c>
      <c r="ED24" s="33">
        <f>(4151.33)/ED$16*100</f>
        <v>51.969579369053577</v>
      </c>
      <c r="EE24" s="33">
        <v>37.229999999999997</v>
      </c>
      <c r="EF24" s="33">
        <v>32.74</v>
      </c>
      <c r="EG24" s="33">
        <v>81.39</v>
      </c>
      <c r="EH24" s="33">
        <v>78.099999999999994</v>
      </c>
      <c r="EL24" s="33">
        <f>(69+9.5)/EL16*100</f>
        <v>2.5</v>
      </c>
      <c r="EM24" s="33">
        <f>ROUND(65.2/EM16,4)*100</f>
        <v>2.0699999999999998</v>
      </c>
      <c r="EN24" s="33">
        <v>0</v>
      </c>
      <c r="EO24" s="33">
        <f>(100-EO18-EO19-EO20-EO21-EO22-EO23)</f>
        <v>0.93296971436774712</v>
      </c>
      <c r="EP24" s="33">
        <f>(100-EP18-EP19-EP20-EP21-EP22-EP23)</f>
        <v>27.043040293040288</v>
      </c>
      <c r="EQ24" s="33">
        <f>(100-EQ18-EQ19-EQ20-EQ21-EQ22-EQ23)</f>
        <v>0.5979853479853432</v>
      </c>
      <c r="ER24" s="33">
        <v>58.71</v>
      </c>
      <c r="ES24" s="33">
        <v>50.2</v>
      </c>
      <c r="ET24" s="33">
        <v>50.2</v>
      </c>
      <c r="EU24" s="33">
        <v>41.82</v>
      </c>
      <c r="EV24" s="33">
        <f>(182.14+28.77)*100/EV$16</f>
        <v>18.971674267569778</v>
      </c>
      <c r="EW24" s="33">
        <f>(196.91+30.04)*100/EW$16</f>
        <v>16.833555852247439</v>
      </c>
      <c r="EY24" s="33">
        <f>57.94-42.26</f>
        <v>15.68</v>
      </c>
      <c r="EZ24" s="33">
        <v>6.46</v>
      </c>
      <c r="FA24" s="33">
        <v>6.46</v>
      </c>
      <c r="FB24" s="33">
        <v>6.46</v>
      </c>
      <c r="FC24" s="33">
        <v>7.44</v>
      </c>
      <c r="FD24" s="33">
        <f>(7257.23)*100/FD$16</f>
        <v>49.261006502762655</v>
      </c>
      <c r="FE24" s="33">
        <f>(6993.74)*100/FE$16</f>
        <v>47.472475258277782</v>
      </c>
      <c r="FF24" s="33">
        <f>(4532.43)/FF$16*100</f>
        <v>69.385964912280741</v>
      </c>
      <c r="FG24" s="33">
        <f>(4532.43)/FG$16*100</f>
        <v>69.385964912280741</v>
      </c>
      <c r="FH24" s="33">
        <f>(4425.13)/FH$16*100</f>
        <v>66.78635032750762</v>
      </c>
      <c r="FI24" s="33">
        <f>(3472.67+1094.05)/FI$16*100</f>
        <v>65.683912567582922</v>
      </c>
      <c r="FJ24" s="33">
        <f>(2497.99+70.5+39.8)/FJ$16*100</f>
        <v>57.203105467464965</v>
      </c>
      <c r="FK24" s="33">
        <f>(1970.08+70.5+39.8)/FK$16*100</f>
        <v>45.625370090137515</v>
      </c>
      <c r="FL24" s="33">
        <f>80.5/FL16*100</f>
        <v>3.0785116065623925</v>
      </c>
      <c r="FM24" s="33">
        <f>25.6/FM16*100</f>
        <v>0.97900493326704663</v>
      </c>
      <c r="FN24" s="33">
        <v>0</v>
      </c>
      <c r="FO24" s="33">
        <v>1</v>
      </c>
      <c r="FQ24" s="33">
        <f>(370.53+0.49)/FQ16*100</f>
        <v>46.009424603174601</v>
      </c>
      <c r="FR24" s="33">
        <f>(425.86+0.12+2.22)/FR16*100</f>
        <v>21.839807409825362</v>
      </c>
      <c r="FS24" s="33">
        <f>(425.86+0.12+2.22)/FS16*100</f>
        <v>21.839807409825362</v>
      </c>
      <c r="FT24" s="33">
        <f>(74.5+10.31+21.29)/FT16*100</f>
        <v>5.4540874813013733</v>
      </c>
      <c r="FU24" s="33">
        <f>(54.73+10.32+21.29)/FU16*100</f>
        <v>4.2635142141830737</v>
      </c>
      <c r="FV24" s="33">
        <f>(51.27+8.36+21.29)/FV16*100</f>
        <v>3.9958717884143424</v>
      </c>
      <c r="GQ24" s="33">
        <f>(23.45)/GQ$16*100</f>
        <v>0.26522588876120845</v>
      </c>
      <c r="GR24" s="33">
        <f>(35.36)/GR$16*100</f>
        <v>0.39993123354355359</v>
      </c>
      <c r="GT24" s="33">
        <f>137/GT16*100</f>
        <v>6.3664668432547975</v>
      </c>
      <c r="GU24" s="33">
        <f>69.7/GU16*100</f>
        <v>3.2913066062237339</v>
      </c>
      <c r="GZ24" s="33">
        <v>0</v>
      </c>
      <c r="HA24" s="33">
        <v>0</v>
      </c>
      <c r="HB24" s="33">
        <v>0</v>
      </c>
      <c r="HC24" s="33">
        <v>0</v>
      </c>
      <c r="HD24" s="33">
        <v>7.16</v>
      </c>
      <c r="HE24" s="33">
        <v>1.25</v>
      </c>
      <c r="HF24" s="33">
        <v>0</v>
      </c>
      <c r="HG24" s="33">
        <v>0</v>
      </c>
      <c r="HH24" s="33">
        <v>0.51</v>
      </c>
      <c r="HI24" s="33">
        <v>0</v>
      </c>
      <c r="HJ24" s="33">
        <v>20.079999999999998</v>
      </c>
      <c r="HK24" s="33">
        <v>7.96</v>
      </c>
      <c r="HL24" s="33">
        <v>8.73</v>
      </c>
      <c r="HM24" s="33">
        <v>0.91</v>
      </c>
      <c r="HN24" s="33">
        <v>14.39</v>
      </c>
      <c r="HO24" s="33">
        <v>5</v>
      </c>
      <c r="HP24" s="33">
        <v>0</v>
      </c>
      <c r="HQ24" s="33">
        <v>0</v>
      </c>
      <c r="HR24" s="33">
        <v>1.57</v>
      </c>
      <c r="HS24" s="33">
        <v>1.51</v>
      </c>
      <c r="HT24" s="33">
        <v>14.16</v>
      </c>
      <c r="HU24" s="33">
        <v>6.32</v>
      </c>
      <c r="HV24" s="33">
        <v>0.76</v>
      </c>
      <c r="HW24" s="33">
        <v>0.51</v>
      </c>
      <c r="HX24" s="33">
        <v>0</v>
      </c>
      <c r="HY24" s="33">
        <v>0</v>
      </c>
      <c r="HZ24" s="33">
        <v>6.92</v>
      </c>
      <c r="IA24" s="33">
        <v>1.04</v>
      </c>
      <c r="IB24" s="33">
        <v>8.98</v>
      </c>
      <c r="IC24" s="33">
        <v>7.33</v>
      </c>
      <c r="ID24" s="33">
        <f>47.75</f>
        <v>47.75</v>
      </c>
      <c r="IE24" s="33">
        <v>15.74</v>
      </c>
      <c r="IF24" s="33">
        <v>0</v>
      </c>
      <c r="IG24" s="33">
        <v>0</v>
      </c>
      <c r="IH24" s="33">
        <v>0</v>
      </c>
      <c r="II24" s="33">
        <v>0</v>
      </c>
      <c r="IM24" s="33">
        <v>8</v>
      </c>
      <c r="IN24" s="33">
        <v>20.3</v>
      </c>
      <c r="IO24" s="33">
        <v>3.35</v>
      </c>
      <c r="IP24" s="33">
        <v>7.01</v>
      </c>
      <c r="IQ24" s="33">
        <v>10.9</v>
      </c>
      <c r="IR24" s="33">
        <v>14.8</v>
      </c>
      <c r="IS24" s="33">
        <f>9772.96/IS16*100</f>
        <v>18.620184034398608</v>
      </c>
      <c r="IT24" s="33">
        <f>9767.99/IT16*100</f>
        <v>18.610714813747862</v>
      </c>
      <c r="IU24" s="33">
        <v>8.4700000000000006</v>
      </c>
      <c r="IV24" s="33">
        <v>8.26</v>
      </c>
      <c r="IW24" s="33">
        <f>3889.2/IW16*100</f>
        <v>26.411865373645178</v>
      </c>
      <c r="IX24" s="33">
        <f>3669.6/IX16*100</f>
        <v>24.920544372911742</v>
      </c>
      <c r="IY24" s="33">
        <f>(1520.99+457.61+25.42+229.1)/IY$16*100</f>
        <v>20.41590252090392</v>
      </c>
      <c r="IZ24" s="33">
        <f>(1314.27+161.44+452.03+22.92+230.11)/IZ$16*100</f>
        <v>19.879978267369694</v>
      </c>
      <c r="JB24" s="33">
        <f>5852.6/JB16*100</f>
        <v>13.806851289600393</v>
      </c>
      <c r="JC24" s="33">
        <f>5805.3/JC16*100</f>
        <v>13.695265999985844</v>
      </c>
    </row>
    <row r="25" spans="1:263" x14ac:dyDescent="0.3">
      <c r="A25" t="s">
        <v>193</v>
      </c>
      <c r="B25">
        <f>SUM(B18:B24)</f>
        <v>100</v>
      </c>
      <c r="C25">
        <f>SUM(C18:C24)</f>
        <v>100.00000000000003</v>
      </c>
      <c r="D25">
        <f>SUM(D18:D24)</f>
        <v>100</v>
      </c>
      <c r="E25">
        <f>SUM(E18:E24)</f>
        <v>99.999999999999986</v>
      </c>
      <c r="F25">
        <f t="shared" ref="F25:G25" si="85">SUM(F18:F24)</f>
        <v>100</v>
      </c>
      <c r="G25">
        <f t="shared" si="85"/>
        <v>100</v>
      </c>
      <c r="H25">
        <f>SUM(H18:H24)</f>
        <v>100</v>
      </c>
      <c r="I25" s="33">
        <f>SUM(I18:I24)</f>
        <v>100</v>
      </c>
      <c r="J25" s="33">
        <f t="shared" ref="J25:L25" si="86">SUM(J18:J24)</f>
        <v>99.999999999999986</v>
      </c>
      <c r="K25" s="33">
        <f t="shared" si="86"/>
        <v>99.999999999999986</v>
      </c>
      <c r="L25" s="33">
        <f t="shared" si="86"/>
        <v>100.00000000000001</v>
      </c>
      <c r="M25">
        <f t="shared" ref="M25:N25" si="87">SUM(M18:M24)</f>
        <v>99.999999999999986</v>
      </c>
      <c r="N25">
        <f t="shared" si="87"/>
        <v>100.00000000000001</v>
      </c>
      <c r="P25">
        <f t="shared" ref="P25" si="88">SUM(P18:P24)</f>
        <v>100</v>
      </c>
      <c r="Q25">
        <f t="shared" ref="Q25" si="89">SUM(Q18:Q24)</f>
        <v>100</v>
      </c>
      <c r="R25">
        <f>SUM(R18:R24)</f>
        <v>100.00000000000001</v>
      </c>
      <c r="S25">
        <f>SUM(S18:S24)</f>
        <v>99.999999999999986</v>
      </c>
      <c r="T25">
        <f>SUM(T18:T24)</f>
        <v>100.00000000000001</v>
      </c>
      <c r="U25">
        <f>SUM(U18:U24)</f>
        <v>99.999999999999972</v>
      </c>
      <c r="V25">
        <f t="shared" ref="V25:BB25" si="90">SUM(V18:V24)</f>
        <v>100</v>
      </c>
      <c r="W25">
        <f t="shared" si="90"/>
        <v>100</v>
      </c>
      <c r="X25">
        <f t="shared" si="90"/>
        <v>99.999999999999972</v>
      </c>
      <c r="Y25">
        <f t="shared" si="90"/>
        <v>100</v>
      </c>
      <c r="Z25">
        <f t="shared" si="90"/>
        <v>99.999999999999986</v>
      </c>
      <c r="AA25">
        <f t="shared" si="90"/>
        <v>99.999999999999986</v>
      </c>
      <c r="AB25">
        <f t="shared" si="90"/>
        <v>99.999999999999986</v>
      </c>
      <c r="AC25">
        <f t="shared" si="90"/>
        <v>100.00000000000001</v>
      </c>
      <c r="AD25">
        <f t="shared" si="90"/>
        <v>100</v>
      </c>
      <c r="AE25">
        <f t="shared" si="90"/>
        <v>99.999999999999986</v>
      </c>
      <c r="AF25">
        <f t="shared" si="90"/>
        <v>100</v>
      </c>
      <c r="AG25">
        <f t="shared" si="90"/>
        <v>100</v>
      </c>
      <c r="AH25">
        <f t="shared" si="90"/>
        <v>100</v>
      </c>
      <c r="AI25">
        <f t="shared" si="90"/>
        <v>100.00000000000001</v>
      </c>
      <c r="AJ25">
        <f t="shared" si="90"/>
        <v>100</v>
      </c>
      <c r="AK25">
        <f t="shared" si="90"/>
        <v>99.999999999999986</v>
      </c>
      <c r="AL25">
        <f t="shared" si="90"/>
        <v>100.00000000000001</v>
      </c>
      <c r="AM25">
        <f t="shared" si="90"/>
        <v>99.999999999999986</v>
      </c>
      <c r="AN25">
        <f t="shared" si="90"/>
        <v>100</v>
      </c>
      <c r="AO25">
        <f t="shared" si="90"/>
        <v>100</v>
      </c>
      <c r="AP25">
        <f t="shared" si="90"/>
        <v>100</v>
      </c>
      <c r="AQ25">
        <f t="shared" si="90"/>
        <v>100</v>
      </c>
      <c r="AR25">
        <f t="shared" si="90"/>
        <v>100</v>
      </c>
      <c r="AS25">
        <f t="shared" si="90"/>
        <v>100</v>
      </c>
      <c r="AT25">
        <f t="shared" si="90"/>
        <v>99.999999999999986</v>
      </c>
      <c r="AU25">
        <f t="shared" si="90"/>
        <v>100</v>
      </c>
      <c r="AV25">
        <f t="shared" si="90"/>
        <v>100</v>
      </c>
      <c r="AW25">
        <f t="shared" si="90"/>
        <v>100</v>
      </c>
      <c r="AX25">
        <f t="shared" si="90"/>
        <v>99.999999999999986</v>
      </c>
      <c r="AY25">
        <f t="shared" si="90"/>
        <v>100</v>
      </c>
      <c r="AZ25">
        <f t="shared" si="90"/>
        <v>100</v>
      </c>
      <c r="BA25">
        <f t="shared" si="90"/>
        <v>100</v>
      </c>
      <c r="BB25">
        <f t="shared" si="90"/>
        <v>106.81547239962865</v>
      </c>
      <c r="BD25">
        <v>100</v>
      </c>
      <c r="BG25">
        <f t="shared" ref="BG25" si="91">SUM(BG18:BG24)</f>
        <v>100.00000000000001</v>
      </c>
      <c r="BH25">
        <f t="shared" ref="BH25" si="92">SUM(BH18:BH24)</f>
        <v>100</v>
      </c>
      <c r="BI25">
        <f t="shared" ref="BI25:CP25" si="93">SUM(BI18:BI24)</f>
        <v>100</v>
      </c>
      <c r="BJ25">
        <f t="shared" si="93"/>
        <v>100</v>
      </c>
      <c r="BK25">
        <f t="shared" si="93"/>
        <v>100</v>
      </c>
      <c r="BL25">
        <f t="shared" si="93"/>
        <v>100</v>
      </c>
      <c r="BM25">
        <f t="shared" si="93"/>
        <v>99.999999999999986</v>
      </c>
      <c r="BO25">
        <f t="shared" si="93"/>
        <v>100</v>
      </c>
      <c r="BP25">
        <f t="shared" si="93"/>
        <v>100</v>
      </c>
      <c r="BQ25">
        <f t="shared" si="93"/>
        <v>100</v>
      </c>
      <c r="BR25">
        <f t="shared" si="93"/>
        <v>100.00000000000001</v>
      </c>
      <c r="BS25">
        <f t="shared" si="93"/>
        <v>100.00000000000001</v>
      </c>
      <c r="BT25">
        <f t="shared" si="93"/>
        <v>100</v>
      </c>
      <c r="BU25">
        <f t="shared" si="93"/>
        <v>100</v>
      </c>
      <c r="BV25">
        <f t="shared" si="93"/>
        <v>100</v>
      </c>
      <c r="BW25">
        <f t="shared" si="93"/>
        <v>100</v>
      </c>
      <c r="BX25">
        <f t="shared" si="93"/>
        <v>100.00000000000001</v>
      </c>
      <c r="BY25">
        <f t="shared" si="93"/>
        <v>100</v>
      </c>
      <c r="BZ25">
        <f t="shared" si="93"/>
        <v>100</v>
      </c>
      <c r="CA25">
        <f t="shared" si="93"/>
        <v>100</v>
      </c>
      <c r="CC25">
        <f t="shared" si="93"/>
        <v>100</v>
      </c>
      <c r="CD25">
        <f t="shared" si="93"/>
        <v>100</v>
      </c>
      <c r="CE25">
        <f t="shared" si="93"/>
        <v>100</v>
      </c>
      <c r="CF25">
        <f t="shared" si="93"/>
        <v>100.00000000000001</v>
      </c>
      <c r="CG25">
        <f t="shared" si="93"/>
        <v>100.00000000000001</v>
      </c>
      <c r="CH25">
        <f t="shared" si="93"/>
        <v>100</v>
      </c>
      <c r="CJ25">
        <f>SUM(CJ18:CJ24)</f>
        <v>100</v>
      </c>
      <c r="CK25">
        <f t="shared" si="93"/>
        <v>100.00000000000001</v>
      </c>
      <c r="CL25">
        <f t="shared" si="93"/>
        <v>100</v>
      </c>
      <c r="CM25">
        <f t="shared" si="93"/>
        <v>100</v>
      </c>
      <c r="CN25">
        <f t="shared" si="93"/>
        <v>100</v>
      </c>
      <c r="CO25">
        <f t="shared" si="93"/>
        <v>100</v>
      </c>
      <c r="CP25">
        <f t="shared" si="93"/>
        <v>100</v>
      </c>
      <c r="CR25">
        <f t="shared" ref="CR25:CU25" si="94">SUM(CR18:CR24)</f>
        <v>25.299999999999997</v>
      </c>
      <c r="CS25" s="33">
        <f t="shared" si="94"/>
        <v>16.430443514023132</v>
      </c>
      <c r="CT25">
        <f t="shared" si="94"/>
        <v>100</v>
      </c>
      <c r="CU25">
        <f t="shared" si="94"/>
        <v>100</v>
      </c>
      <c r="CV25">
        <f>SUM(CV18:CV24)</f>
        <v>100</v>
      </c>
      <c r="CY25">
        <f t="shared" ref="CY25" si="95">SUM(CY18:CY24)</f>
        <v>100</v>
      </c>
      <c r="CZ25">
        <f>SUM(CZ18:CZ24)</f>
        <v>100</v>
      </c>
      <c r="DA25">
        <f t="shared" ref="DA25:DD25" si="96">SUM(DA18:DA24)</f>
        <v>100</v>
      </c>
      <c r="DB25">
        <f t="shared" si="96"/>
        <v>100</v>
      </c>
      <c r="DC25">
        <f t="shared" si="96"/>
        <v>100</v>
      </c>
      <c r="DD25">
        <f t="shared" si="96"/>
        <v>100</v>
      </c>
      <c r="DE25">
        <f>SUM(DE18:DE24)</f>
        <v>100.00000000000001</v>
      </c>
      <c r="DF25">
        <f t="shared" ref="DF25" si="97">SUM(DF18:DF24)</f>
        <v>100</v>
      </c>
      <c r="DG25">
        <f t="shared" ref="DG25" si="98">SUM(DG18:DG24)</f>
        <v>100.00000000000001</v>
      </c>
      <c r="DH25">
        <f t="shared" ref="DH25" si="99">SUM(DH18:DH24)</f>
        <v>100</v>
      </c>
      <c r="DI25">
        <f t="shared" ref="DI25:ED25" si="100">SUM(DI18:DI24)</f>
        <v>100</v>
      </c>
      <c r="DJ25">
        <f t="shared" si="100"/>
        <v>100</v>
      </c>
      <c r="DK25">
        <f t="shared" si="100"/>
        <v>99.999999999999972</v>
      </c>
      <c r="DL25">
        <f t="shared" si="100"/>
        <v>100</v>
      </c>
      <c r="DM25">
        <f t="shared" si="100"/>
        <v>100</v>
      </c>
      <c r="DN25">
        <f t="shared" si="100"/>
        <v>99.999999999999986</v>
      </c>
      <c r="DO25">
        <f t="shared" si="100"/>
        <v>99.999999999999986</v>
      </c>
      <c r="DP25">
        <f t="shared" si="100"/>
        <v>99.999999999999986</v>
      </c>
      <c r="DR25" s="33">
        <f>SUM(DR18:DR24)</f>
        <v>100</v>
      </c>
      <c r="DS25">
        <f t="shared" si="100"/>
        <v>100</v>
      </c>
      <c r="DT25">
        <f t="shared" si="100"/>
        <v>100</v>
      </c>
      <c r="DU25">
        <f t="shared" si="100"/>
        <v>100.00000000000001</v>
      </c>
      <c r="DV25">
        <f t="shared" si="100"/>
        <v>100.00000000000001</v>
      </c>
      <c r="DW25">
        <f t="shared" si="100"/>
        <v>49.999999999999993</v>
      </c>
      <c r="DX25">
        <f t="shared" si="100"/>
        <v>50</v>
      </c>
      <c r="DY25">
        <f t="shared" si="100"/>
        <v>100</v>
      </c>
      <c r="DZ25">
        <f t="shared" si="100"/>
        <v>99.999999999999986</v>
      </c>
      <c r="EA25">
        <f t="shared" si="100"/>
        <v>100</v>
      </c>
      <c r="EB25">
        <f t="shared" si="100"/>
        <v>100</v>
      </c>
      <c r="EC25">
        <f t="shared" si="100"/>
        <v>100</v>
      </c>
      <c r="ED25">
        <f t="shared" si="100"/>
        <v>99.999999999999986</v>
      </c>
      <c r="EE25">
        <f>SUM(EE18:EE24)</f>
        <v>100</v>
      </c>
      <c r="EF25">
        <f>SUM(EF18:EF24)</f>
        <v>100</v>
      </c>
      <c r="EG25">
        <f t="shared" ref="EG25:EH25" si="101">SUM(EG18:EG24)</f>
        <v>100.00000000000001</v>
      </c>
      <c r="EH25">
        <f t="shared" si="101"/>
        <v>100.00000000000001</v>
      </c>
      <c r="EL25">
        <f t="shared" ref="EL25" si="102">SUM(EL18:EL24)</f>
        <v>100</v>
      </c>
      <c r="EM25">
        <f t="shared" ref="EM25" si="103">SUM(EM18:EM24)</f>
        <v>99.999999999999986</v>
      </c>
      <c r="EN25">
        <f t="shared" ref="EN25:FO25" si="104">SUM(EN18:EN24)</f>
        <v>100.00000000000001</v>
      </c>
      <c r="EO25">
        <f t="shared" si="104"/>
        <v>100</v>
      </c>
      <c r="EP25">
        <f t="shared" si="104"/>
        <v>100</v>
      </c>
      <c r="EQ25">
        <f t="shared" si="104"/>
        <v>100</v>
      </c>
      <c r="ER25">
        <f t="shared" si="104"/>
        <v>99.999999999999986</v>
      </c>
      <c r="ES25">
        <f t="shared" si="104"/>
        <v>100</v>
      </c>
      <c r="ET25">
        <f t="shared" ref="ET25:EU25" si="105">SUM(ET18:ET24)</f>
        <v>99.999999999999986</v>
      </c>
      <c r="EU25">
        <f t="shared" si="105"/>
        <v>100</v>
      </c>
      <c r="EV25">
        <f t="shared" ref="EV25" si="106">SUM(EV18:EV24)</f>
        <v>100</v>
      </c>
      <c r="EW25">
        <f t="shared" ref="EW25" si="107">SUM(EW18:EW24)</f>
        <v>100.00000000000001</v>
      </c>
      <c r="EY25">
        <f t="shared" ref="EY25" si="108">SUM(EY18:EY24)</f>
        <v>58.000000000000007</v>
      </c>
      <c r="EZ25">
        <f>SUM(EZ18:EZ24)</f>
        <v>99.999999999999986</v>
      </c>
      <c r="FA25">
        <f t="shared" si="104"/>
        <v>99.999999999999986</v>
      </c>
      <c r="FB25">
        <f t="shared" si="104"/>
        <v>99.999999999999986</v>
      </c>
      <c r="FC25">
        <f t="shared" si="104"/>
        <v>99.999999999999986</v>
      </c>
      <c r="FD25">
        <f t="shared" si="104"/>
        <v>100</v>
      </c>
      <c r="FE25">
        <f t="shared" si="104"/>
        <v>100</v>
      </c>
      <c r="FF25">
        <f t="shared" si="104"/>
        <v>100</v>
      </c>
      <c r="FG25">
        <f t="shared" si="104"/>
        <v>100.00000000000001</v>
      </c>
      <c r="FH25">
        <f t="shared" si="104"/>
        <v>99.999999999999986</v>
      </c>
      <c r="FI25">
        <f t="shared" si="104"/>
        <v>100</v>
      </c>
      <c r="FJ25">
        <f t="shared" si="104"/>
        <v>100</v>
      </c>
      <c r="FK25">
        <f t="shared" si="104"/>
        <v>100</v>
      </c>
      <c r="FL25">
        <f t="shared" si="104"/>
        <v>100.00000000000001</v>
      </c>
      <c r="FM25">
        <f t="shared" si="104"/>
        <v>100</v>
      </c>
      <c r="FN25">
        <f t="shared" si="104"/>
        <v>99.999999999999986</v>
      </c>
      <c r="FO25">
        <f t="shared" si="104"/>
        <v>100.00000000000001</v>
      </c>
      <c r="FQ25">
        <f t="shared" ref="FQ25:GR25" si="109">SUM(FQ18:FQ24)</f>
        <v>100</v>
      </c>
      <c r="FR25">
        <f t="shared" si="109"/>
        <v>100</v>
      </c>
      <c r="FS25">
        <f t="shared" si="109"/>
        <v>100</v>
      </c>
      <c r="FT25">
        <f t="shared" si="109"/>
        <v>99.999999999999972</v>
      </c>
      <c r="FU25">
        <f t="shared" si="109"/>
        <v>99.999999999999986</v>
      </c>
      <c r="FV25">
        <f t="shared" si="109"/>
        <v>100</v>
      </c>
      <c r="GQ25">
        <f t="shared" si="109"/>
        <v>100</v>
      </c>
      <c r="GR25">
        <f t="shared" si="109"/>
        <v>100</v>
      </c>
      <c r="GT25">
        <f>SUM(GT18:GT24)</f>
        <v>100</v>
      </c>
      <c r="GU25">
        <f>SUM(GU18:GU24)</f>
        <v>100</v>
      </c>
      <c r="GZ25" s="33">
        <f>SUM(GZ18:GZ24)</f>
        <v>100</v>
      </c>
      <c r="HA25" s="33">
        <f>SUM(HA18:HA24)</f>
        <v>100</v>
      </c>
      <c r="HB25" s="33">
        <f t="shared" ref="HB25:HC25" si="110">SUM(HB18:HB24)</f>
        <v>100</v>
      </c>
      <c r="HC25" s="33">
        <f t="shared" si="110"/>
        <v>100</v>
      </c>
      <c r="HD25" s="33">
        <f t="shared" ref="HD25" si="111">SUM(HD18:HD24)</f>
        <v>100</v>
      </c>
      <c r="HE25" s="33">
        <f t="shared" ref="HE25" si="112">SUM(HE18:HE24)</f>
        <v>100</v>
      </c>
      <c r="HF25" s="33">
        <f t="shared" ref="HF25" si="113">SUM(HF18:HF24)</f>
        <v>100</v>
      </c>
      <c r="HG25" s="33">
        <f t="shared" ref="HG25" si="114">SUM(HG18:HG24)</f>
        <v>100</v>
      </c>
      <c r="HH25" s="33">
        <f t="shared" ref="HH25" si="115">SUM(HH18:HH24)</f>
        <v>100</v>
      </c>
      <c r="HI25" s="33">
        <f t="shared" ref="HI25" si="116">SUM(HI18:HI24)</f>
        <v>100</v>
      </c>
      <c r="HJ25" s="33">
        <f t="shared" ref="HJ25" si="117">SUM(HJ18:HJ24)</f>
        <v>100</v>
      </c>
      <c r="HK25" s="33">
        <f t="shared" ref="HK25" si="118">SUM(HK18:HK24)</f>
        <v>100</v>
      </c>
      <c r="HL25" s="33">
        <f t="shared" ref="HL25" si="119">SUM(HL18:HL24)</f>
        <v>100</v>
      </c>
      <c r="HM25" s="33">
        <f t="shared" ref="HM25" si="120">SUM(HM18:HM24)</f>
        <v>100</v>
      </c>
      <c r="HN25" s="33">
        <f t="shared" ref="HN25" si="121">SUM(HN18:HN24)</f>
        <v>100.00000000000001</v>
      </c>
      <c r="HO25" s="33">
        <f t="shared" ref="HO25" si="122">SUM(HO18:HO24)</f>
        <v>100</v>
      </c>
      <c r="HP25" s="33">
        <f t="shared" ref="HP25" si="123">SUM(HP18:HP24)</f>
        <v>100</v>
      </c>
      <c r="HQ25" s="33">
        <f t="shared" ref="HQ25" si="124">SUM(HQ18:HQ24)</f>
        <v>100</v>
      </c>
      <c r="HR25" s="33">
        <f t="shared" ref="HR25" si="125">SUM(HR18:HR24)</f>
        <v>100</v>
      </c>
      <c r="HS25" s="33">
        <f t="shared" ref="HS25" si="126">SUM(HS18:HS24)</f>
        <v>100</v>
      </c>
      <c r="HT25" s="33">
        <f t="shared" ref="HT25" si="127">SUM(HT18:HT24)</f>
        <v>100</v>
      </c>
      <c r="HU25" s="33">
        <f t="shared" ref="HU25" si="128">SUM(HU18:HU24)</f>
        <v>100</v>
      </c>
      <c r="HV25" s="33">
        <f t="shared" ref="HV25" si="129">SUM(HV18:HV24)</f>
        <v>100</v>
      </c>
      <c r="HW25" s="33">
        <f t="shared" ref="HW25" si="130">SUM(HW18:HW24)</f>
        <v>100</v>
      </c>
      <c r="HX25" s="33">
        <f t="shared" ref="HX25" si="131">SUM(HX18:HX24)</f>
        <v>100</v>
      </c>
      <c r="HY25" s="33">
        <f t="shared" ref="HY25" si="132">SUM(HY18:HY24)</f>
        <v>100</v>
      </c>
      <c r="HZ25" s="33">
        <f t="shared" ref="HZ25" si="133">SUM(HZ18:HZ24)</f>
        <v>100</v>
      </c>
      <c r="IA25" s="33">
        <f t="shared" ref="IA25" si="134">SUM(IA18:IA24)</f>
        <v>100</v>
      </c>
      <c r="IB25" s="33">
        <f t="shared" ref="IB25" si="135">SUM(IB18:IB24)</f>
        <v>100</v>
      </c>
      <c r="IC25" s="33">
        <f t="shared" ref="IC25" si="136">SUM(IC18:IC24)</f>
        <v>100</v>
      </c>
      <c r="ID25" s="33">
        <f t="shared" ref="ID25" si="137">SUM(ID18:ID24)</f>
        <v>100</v>
      </c>
      <c r="IE25" s="33">
        <f t="shared" ref="IE25" si="138">SUM(IE18:IE24)</f>
        <v>100</v>
      </c>
      <c r="IF25" s="33">
        <f t="shared" ref="IF25" si="139">SUM(IF18:IF24)</f>
        <v>100</v>
      </c>
      <c r="IG25" s="33">
        <f t="shared" ref="IG25" si="140">SUM(IG18:IG24)</f>
        <v>100</v>
      </c>
      <c r="IH25" s="33">
        <f t="shared" ref="IH25" si="141">SUM(IH18:IH24)</f>
        <v>100</v>
      </c>
      <c r="II25" s="33">
        <f t="shared" ref="II25" si="142">SUM(II18:II24)</f>
        <v>100</v>
      </c>
    </row>
    <row r="26" spans="1:263" x14ac:dyDescent="0.3">
      <c r="A26" t="s">
        <v>197</v>
      </c>
      <c r="B26">
        <v>0</v>
      </c>
      <c r="C26">
        <v>0</v>
      </c>
      <c r="E26">
        <v>35</v>
      </c>
      <c r="G26">
        <v>40</v>
      </c>
      <c r="J26">
        <v>35</v>
      </c>
      <c r="N26">
        <v>50</v>
      </c>
      <c r="Q26" s="33">
        <v>45</v>
      </c>
      <c r="T26">
        <v>50</v>
      </c>
      <c r="W26">
        <v>55</v>
      </c>
      <c r="AA26">
        <v>40</v>
      </c>
      <c r="AE26">
        <v>61</v>
      </c>
      <c r="AH26">
        <v>60</v>
      </c>
      <c r="AN26">
        <v>67</v>
      </c>
      <c r="AP26">
        <v>73</v>
      </c>
      <c r="AT26">
        <v>75</v>
      </c>
      <c r="AW26">
        <v>80</v>
      </c>
      <c r="AZ26">
        <v>62</v>
      </c>
      <c r="BH26">
        <v>70</v>
      </c>
      <c r="BL26">
        <v>70</v>
      </c>
      <c r="BO26">
        <v>59</v>
      </c>
      <c r="BR26">
        <v>55</v>
      </c>
      <c r="BU26">
        <v>62</v>
      </c>
      <c r="BY26">
        <v>73</v>
      </c>
      <c r="CD26">
        <v>70</v>
      </c>
      <c r="CG26">
        <v>85</v>
      </c>
      <c r="CK26">
        <v>70</v>
      </c>
      <c r="CM26" s="33">
        <v>78</v>
      </c>
      <c r="CO26">
        <v>100</v>
      </c>
      <c r="CR26">
        <v>70</v>
      </c>
      <c r="CU26" s="33">
        <v>82</v>
      </c>
      <c r="CZ26">
        <v>45</v>
      </c>
      <c r="DB26">
        <v>52</v>
      </c>
      <c r="DF26">
        <v>54</v>
      </c>
      <c r="DK26">
        <v>46</v>
      </c>
      <c r="DO26" s="33">
        <v>55</v>
      </c>
      <c r="DR26" s="33">
        <v>57</v>
      </c>
      <c r="DU26" s="33">
        <v>69</v>
      </c>
      <c r="DX26" s="33">
        <v>75</v>
      </c>
      <c r="DZ26">
        <v>69</v>
      </c>
      <c r="EC26">
        <v>70</v>
      </c>
      <c r="EE26" s="33">
        <v>73</v>
      </c>
      <c r="EH26" s="33">
        <v>85</v>
      </c>
      <c r="EM26">
        <v>65</v>
      </c>
      <c r="EP26">
        <v>58</v>
      </c>
      <c r="ET26" s="33">
        <v>50</v>
      </c>
      <c r="EW26">
        <v>60</v>
      </c>
      <c r="EZ26">
        <v>65</v>
      </c>
      <c r="FE26">
        <v>80</v>
      </c>
      <c r="FH26">
        <v>90</v>
      </c>
      <c r="FR26">
        <v>66</v>
      </c>
      <c r="FU26">
        <v>66</v>
      </c>
      <c r="FX26">
        <v>78</v>
      </c>
      <c r="FZ26">
        <v>133</v>
      </c>
      <c r="GR26">
        <v>108</v>
      </c>
      <c r="GU26">
        <v>140</v>
      </c>
      <c r="GZ26" s="33"/>
      <c r="HA26" s="33">
        <v>0</v>
      </c>
      <c r="HC26" s="33">
        <v>0</v>
      </c>
      <c r="HE26" s="33">
        <v>0</v>
      </c>
      <c r="HG26" s="33">
        <v>0</v>
      </c>
      <c r="HI26" s="33">
        <v>0</v>
      </c>
      <c r="HK26" s="33">
        <v>0</v>
      </c>
      <c r="HM26" s="33">
        <v>0</v>
      </c>
      <c r="HO26" s="33">
        <v>0</v>
      </c>
      <c r="HQ26" s="33">
        <v>0</v>
      </c>
      <c r="HS26" s="33">
        <v>0</v>
      </c>
      <c r="HU26" s="33">
        <v>0</v>
      </c>
      <c r="HW26" s="33">
        <v>0</v>
      </c>
      <c r="HY26" s="33">
        <v>0</v>
      </c>
      <c r="IA26" s="33">
        <v>0</v>
      </c>
      <c r="IC26" s="33">
        <v>0</v>
      </c>
      <c r="IE26" s="33">
        <v>0</v>
      </c>
      <c r="IG26" s="33">
        <v>0</v>
      </c>
      <c r="II26" s="33">
        <v>0</v>
      </c>
    </row>
    <row r="29" spans="1:263" s="33" customFormat="1" x14ac:dyDescent="0.3">
      <c r="A29" s="34" t="s">
        <v>186</v>
      </c>
      <c r="C29" s="33">
        <f t="shared" ref="C29:C35" si="143">ABS(C18-B18)</f>
        <v>0.37999999999999901</v>
      </c>
      <c r="E29" s="33">
        <f>ABS(E18-D18)</f>
        <v>18.5</v>
      </c>
      <c r="G29" s="33">
        <f>ABS(G18-F18)</f>
        <v>0.19999999999999996</v>
      </c>
      <c r="H29" s="33">
        <f t="shared" ref="H29" si="144">ABS(H18-G18)</f>
        <v>3.5</v>
      </c>
      <c r="J29" s="33">
        <f t="shared" ref="J29" si="145">ABS(J18-I18)</f>
        <v>1.59</v>
      </c>
      <c r="K29" s="33">
        <f t="shared" ref="K29:L29" si="146">ABS(K18-J18)</f>
        <v>1.2699999999999998</v>
      </c>
      <c r="L29" s="33">
        <f t="shared" si="146"/>
        <v>1.1360504076505229</v>
      </c>
      <c r="N29" s="33">
        <f>ABS(N18-M18)</f>
        <v>1.4000000000000004</v>
      </c>
      <c r="Q29" s="33">
        <f>ABS(Q18-P18)</f>
        <v>28.5</v>
      </c>
      <c r="T29" s="33">
        <f t="shared" ref="T29:BR29" si="147">ABS(T18-S18)</f>
        <v>1.0699999999999998</v>
      </c>
      <c r="U29" s="33">
        <f t="shared" si="147"/>
        <v>0.85000000000000009</v>
      </c>
      <c r="W29" s="33">
        <f t="shared" ref="W29" si="148">ABS(W18-V18)</f>
        <v>7.0299999999999994</v>
      </c>
      <c r="X29" s="33">
        <f t="shared" ref="X29" si="149">ABS(X18-W18)</f>
        <v>6.7653658536585359</v>
      </c>
      <c r="Z29" s="33">
        <f t="shared" ref="Z29" si="150">ABS(Z18-Y18)</f>
        <v>5.2562945129902694</v>
      </c>
      <c r="AA29" s="33">
        <f t="shared" ref="AA29" si="151">ABS(AA18-Z18)</f>
        <v>0.99809409168422203</v>
      </c>
      <c r="AB29" s="33">
        <f>ABS(AB18-Z18)</f>
        <v>3.1679349080839936</v>
      </c>
      <c r="AD29" s="33">
        <f>ABS(AD18-AC18)</f>
        <v>0.59414664074194523</v>
      </c>
      <c r="AE29" s="33">
        <f>ABS(AE18-AC18)</f>
        <v>1.535065323151788E-2</v>
      </c>
      <c r="AF29" s="33">
        <f t="shared" ref="AF29:AH29" si="152">ABS(AF18-AE18)</f>
        <v>0.24034663428214889</v>
      </c>
      <c r="AH29" s="33">
        <f t="shared" si="152"/>
        <v>0.63000000000000012</v>
      </c>
      <c r="AI29" s="33">
        <f>ABS(AI18-AH18)</f>
        <v>0.10999999999999988</v>
      </c>
      <c r="AK29" s="33">
        <f>ABS(AK18-AJ18)</f>
        <v>0.4</v>
      </c>
      <c r="AL29" s="33">
        <f>ABS(AL18-AK18)</f>
        <v>0.79</v>
      </c>
      <c r="AN29" s="33">
        <f t="shared" ref="AN29:BB29" si="153">ABS(AN18-AM18)</f>
        <v>8.9804071571252511</v>
      </c>
      <c r="AO29" s="33">
        <f t="shared" si="153"/>
        <v>0</v>
      </c>
      <c r="AQ29" s="33">
        <f t="shared" si="153"/>
        <v>1.9519996433686062</v>
      </c>
      <c r="AR29" s="33">
        <f t="shared" si="153"/>
        <v>0.14543874019960157</v>
      </c>
      <c r="AT29" s="33">
        <f t="shared" si="153"/>
        <v>0.12</v>
      </c>
      <c r="AU29" s="33">
        <f t="shared" si="153"/>
        <v>4.07</v>
      </c>
      <c r="AW29" s="33">
        <f t="shared" si="153"/>
        <v>3.01</v>
      </c>
      <c r="AX29" s="33">
        <f t="shared" si="153"/>
        <v>0.66000000000000014</v>
      </c>
      <c r="AZ29" s="33">
        <f t="shared" si="153"/>
        <v>5.4986803167239917E-2</v>
      </c>
      <c r="BB29" s="33">
        <f t="shared" si="153"/>
        <v>2.0062511070884597</v>
      </c>
      <c r="BH29" s="33">
        <f t="shared" si="147"/>
        <v>6.5999999999999979</v>
      </c>
      <c r="BI29" s="33">
        <f t="shared" si="147"/>
        <v>9.3000000000000007</v>
      </c>
      <c r="BK29" s="33">
        <f>ABS(BK18-BJ18)</f>
        <v>1.051798235693282</v>
      </c>
      <c r="BL29" s="33">
        <f t="shared" si="147"/>
        <v>1.1479303325039583</v>
      </c>
      <c r="BM29" s="33">
        <f t="shared" si="147"/>
        <v>0</v>
      </c>
      <c r="BP29" s="33">
        <f t="shared" si="147"/>
        <v>3.33389970386912</v>
      </c>
      <c r="BR29" s="33">
        <f t="shared" si="147"/>
        <v>0.19000325743706448</v>
      </c>
      <c r="BU29" s="33">
        <f>ABS(BU18-BT18)</f>
        <v>2.854475299913553</v>
      </c>
      <c r="BV29" s="33">
        <f>ABS(BV18-BT18)</f>
        <v>2.0481510850623719E-2</v>
      </c>
      <c r="BW29" s="33">
        <f>ABS(BW18-BV18)</f>
        <v>4.5780602364506411</v>
      </c>
      <c r="BY29" s="33">
        <f t="shared" ref="BY29" si="154">ABS(BY18-BX18)</f>
        <v>4.584580958972948</v>
      </c>
      <c r="CA29" s="33">
        <f>ABS(CA18-BY18)</f>
        <v>6.8142772337381796</v>
      </c>
      <c r="CB29" s="33">
        <f>ABS(CA18-BZ18)</f>
        <v>0.34377641237975043</v>
      </c>
      <c r="CD29" s="33">
        <f>ABS(CD18-CC18)</f>
        <v>9.4958936481779471E-3</v>
      </c>
      <c r="CE29" s="33">
        <f>ABS(CE18-CD18)</f>
        <v>0.57512968904614836</v>
      </c>
      <c r="CG29" s="33">
        <f t="shared" ref="CG29:CH29" si="155">ABS(CG18-CF18)</f>
        <v>0.25768198473791648</v>
      </c>
      <c r="CH29" s="33">
        <f t="shared" si="155"/>
        <v>3.7083429607609464E-4</v>
      </c>
      <c r="CK29" s="33">
        <f>ABS(CK18-CJ18)</f>
        <v>0.12000000000000011</v>
      </c>
      <c r="CM29" s="33">
        <f t="shared" ref="CM29" si="156">ABS(CM18-CL18)</f>
        <v>0</v>
      </c>
      <c r="CO29" s="33">
        <f>ABS(CO18-CN18)</f>
        <v>21.199119776579501</v>
      </c>
      <c r="CP29" s="33">
        <f>ABS(CP18-CO18)</f>
        <v>1.5703962289919104E-3</v>
      </c>
      <c r="CS29" s="33">
        <f>ABS(CS18-CR18)</f>
        <v>6.1692307692307713E-2</v>
      </c>
      <c r="CU29" s="33">
        <f t="shared" ref="CU29:CU35" si="157">ABS(CU18-CT18)</f>
        <v>0</v>
      </c>
      <c r="CV29" s="33">
        <f>ABS(CV18-CU18)</f>
        <v>0</v>
      </c>
      <c r="CZ29" s="33">
        <f>ABS(CZ18-CY18)</f>
        <v>1.0299999999999994</v>
      </c>
      <c r="DB29" s="33">
        <f>ABS(DB18-DA18)</f>
        <v>1</v>
      </c>
      <c r="DD29" s="33">
        <f>ABS(DD18-DC18)</f>
        <v>0</v>
      </c>
      <c r="DF29" s="33">
        <f t="shared" ref="DF29:DI29" si="158">ABS(DF18-DE18)</f>
        <v>0.59428909230962157</v>
      </c>
      <c r="DG29" s="33">
        <f t="shared" si="158"/>
        <v>1.2199272701216344</v>
      </c>
      <c r="DI29" s="33">
        <f t="shared" si="158"/>
        <v>1.7825127723533032</v>
      </c>
      <c r="DK29" s="33">
        <f>ABS(DK18-DJ18)</f>
        <v>1.099546142208772</v>
      </c>
      <c r="DL29" s="33">
        <f t="shared" ref="DL29:DM35" si="159">ABS(DL18-DK18)</f>
        <v>0.20363086232980376</v>
      </c>
      <c r="DM29" s="33">
        <f>ABS(DM18-DL18)</f>
        <v>0.46777609682300425</v>
      </c>
      <c r="DO29" s="33">
        <f t="shared" ref="DO29:EA29" si="160">ABS(DO18-DN18)</f>
        <v>0</v>
      </c>
      <c r="DP29" s="33">
        <f t="shared" si="160"/>
        <v>2.5613621038435608</v>
      </c>
      <c r="DR29" s="33">
        <f t="shared" si="160"/>
        <v>0.22048280234573903</v>
      </c>
      <c r="DS29" s="33">
        <f t="shared" si="160"/>
        <v>0</v>
      </c>
      <c r="DU29" s="33">
        <f t="shared" si="160"/>
        <v>0.9</v>
      </c>
      <c r="DV29" s="33">
        <f t="shared" si="160"/>
        <v>4.0000000000000036E-2</v>
      </c>
      <c r="DX29" s="33">
        <f t="shared" si="160"/>
        <v>0.10000000000000009</v>
      </c>
      <c r="DZ29" s="33">
        <f t="shared" si="160"/>
        <v>0.25027867163017525</v>
      </c>
      <c r="EA29" s="33">
        <f t="shared" si="160"/>
        <v>3.1968368140997345</v>
      </c>
      <c r="EC29" s="33">
        <f>ABS(EC18-EB18)</f>
        <v>3.3386780170255386</v>
      </c>
      <c r="ED29" s="33">
        <f>ABS(ED18-EC18)</f>
        <v>0.76089133700550793</v>
      </c>
      <c r="EF29" s="33">
        <f t="shared" ref="EF29" si="161">ABS(EF18-EE18)</f>
        <v>2.91</v>
      </c>
      <c r="EH29" s="33">
        <f t="shared" ref="EH29:EH35" si="162">ABS(EH18-EG18)</f>
        <v>0.53999999999999981</v>
      </c>
      <c r="EM29" s="33">
        <f t="shared" ref="EM29:FV29" si="163">ABS(EM18-EL18)</f>
        <v>19.166942675159234</v>
      </c>
      <c r="EN29" s="33">
        <f t="shared" si="163"/>
        <v>1.8000000000000007</v>
      </c>
      <c r="EP29" s="33">
        <f t="shared" si="163"/>
        <v>0.27582215162952917</v>
      </c>
      <c r="EQ29" s="33">
        <f t="shared" si="163"/>
        <v>4.9038461538461542</v>
      </c>
      <c r="ES29" s="33">
        <f t="shared" si="163"/>
        <v>0.48999999999999988</v>
      </c>
      <c r="ET29" s="33">
        <f>ABS(ET18-ES18)</f>
        <v>0</v>
      </c>
      <c r="EU29" s="33">
        <f t="shared" ref="EU29" si="164">ABS(EU18-ET18)</f>
        <v>2.06</v>
      </c>
      <c r="EW29" s="33">
        <f>ABS(EW18-EV18)</f>
        <v>0.3601083448597977</v>
      </c>
      <c r="EY29" s="33">
        <f>ABS(EY18-EW18)</f>
        <v>7.7628793947485537</v>
      </c>
      <c r="FA29" s="33">
        <f>ABS(FA18-EZ18)</f>
        <v>0</v>
      </c>
      <c r="FC29" s="33">
        <f t="shared" ref="FC29" si="165">ABS(FC18-FB18)</f>
        <v>1.06</v>
      </c>
      <c r="FE29" s="33">
        <f t="shared" ref="FE29" si="166">ABS(FE18-FD18)</f>
        <v>0.59875646542946726</v>
      </c>
      <c r="FG29" s="33">
        <f t="shared" ref="FG29:FH29" si="167">ABS(FG18-FF18)</f>
        <v>1.0281375340620316</v>
      </c>
      <c r="FH29" s="33">
        <f t="shared" si="167"/>
        <v>0.99634114798002149</v>
      </c>
      <c r="FI29" s="33">
        <f>ABS(FI18-FH18)</f>
        <v>0.1345715780321215</v>
      </c>
      <c r="FK29" s="33">
        <f>ABS(FK18-FJ18)</f>
        <v>0.97484483628308904</v>
      </c>
      <c r="FM29" s="33">
        <f t="shared" ref="FM29" si="168">ABS(FM18-FL18)</f>
        <v>1.3346590691804643</v>
      </c>
      <c r="FO29" s="33">
        <f t="shared" ref="FO29:FO35" si="169">ABS(FO18-FN18)</f>
        <v>8.7000000000000011</v>
      </c>
      <c r="FR29" s="33">
        <f t="shared" si="163"/>
        <v>8.2209714563563345</v>
      </c>
      <c r="FU29" s="33">
        <f t="shared" si="163"/>
        <v>0.40414014957222477</v>
      </c>
      <c r="FV29" s="33">
        <f t="shared" si="163"/>
        <v>0.14962297971942107</v>
      </c>
      <c r="GR29" s="33">
        <f t="shared" ref="GR29:GR35" si="170">ABS(GR18-GQ18)</f>
        <v>6.6822220613650138</v>
      </c>
      <c r="GU29" s="33">
        <f>ABS(GU18-GT18)</f>
        <v>2.301167667146446</v>
      </c>
      <c r="HA29" s="33">
        <f>ABS(GZ18-HA18)</f>
        <v>0.1899999999999995</v>
      </c>
      <c r="HC29" s="33">
        <f t="shared" ref="HC29:HI29" si="171">ABS(HB18-HC18)</f>
        <v>2.9299999999999997</v>
      </c>
      <c r="HE29" s="33">
        <f t="shared" si="171"/>
        <v>2.2399999999999984</v>
      </c>
      <c r="HG29" s="33">
        <f t="shared" si="171"/>
        <v>0.75999999999999979</v>
      </c>
      <c r="HI29" s="33">
        <f t="shared" si="171"/>
        <v>0.37000000000000011</v>
      </c>
      <c r="HK29" s="33">
        <f>ABS(HJ18-HK18)</f>
        <v>12.44</v>
      </c>
      <c r="HM29" s="33">
        <f t="shared" ref="HM29:HW29" si="172">ABS(HL18-HM18)</f>
        <v>5.5400000000000009</v>
      </c>
      <c r="HO29" s="33">
        <f t="shared" si="172"/>
        <v>5.3699999999999992</v>
      </c>
      <c r="HQ29" s="33">
        <f t="shared" si="172"/>
        <v>15.219999999999999</v>
      </c>
      <c r="HS29" s="33">
        <f t="shared" si="172"/>
        <v>1.6299999999999955</v>
      </c>
      <c r="HU29" s="33">
        <f t="shared" si="172"/>
        <v>0.87000000000000011</v>
      </c>
      <c r="HW29" s="33">
        <f t="shared" si="172"/>
        <v>1.5600000000000005</v>
      </c>
      <c r="HY29" s="33">
        <f t="shared" ref="HY29" si="173">ABS(HX18-HY18)</f>
        <v>1.990000000000002</v>
      </c>
      <c r="IA29" s="33">
        <f t="shared" ref="IA29" si="174">ABS(HZ18-IA18)</f>
        <v>8.1500000000000057</v>
      </c>
      <c r="IC29" s="33">
        <f t="shared" ref="IC29" si="175">ABS(IB18-IC18)</f>
        <v>2.5800000000000018</v>
      </c>
      <c r="IE29" s="33">
        <f t="shared" ref="IE29" si="176">ABS(ID18-IE18)</f>
        <v>14.129999999999999</v>
      </c>
      <c r="IG29" s="33">
        <f t="shared" ref="IG29" si="177">ABS(IF18-IG18)</f>
        <v>0.55999999999999961</v>
      </c>
      <c r="II29" s="33">
        <f t="shared" ref="II29:IN29" si="178">ABS(IH18-II18)</f>
        <v>0.34999999999999964</v>
      </c>
      <c r="IN29" s="33">
        <f t="shared" si="178"/>
        <v>16.8</v>
      </c>
      <c r="IP29" s="33">
        <f t="shared" ref="IP29" si="179">ABS(IO18-IP18)</f>
        <v>3.12</v>
      </c>
      <c r="IR29" s="33">
        <f t="shared" ref="IR29" si="180">ABS(IQ18-IR18)</f>
        <v>2.1</v>
      </c>
      <c r="IT29" s="33">
        <f t="shared" ref="IT29:IT35" si="181">ABS(IS18-IT18)</f>
        <v>0</v>
      </c>
      <c r="IV29" s="33">
        <f t="shared" ref="IV29:IX29" si="182">ABS(IU18-IV18)</f>
        <v>0.14000000000000057</v>
      </c>
      <c r="IX29" s="33">
        <f t="shared" si="182"/>
        <v>0</v>
      </c>
      <c r="IZ29" s="33">
        <f t="shared" ref="IZ29" si="183">ABS(IY18-IZ18)</f>
        <v>0.20226206334908703</v>
      </c>
      <c r="JC29" s="33">
        <f>ABS(JB18-JC18)</f>
        <v>0.30503124624019595</v>
      </c>
    </row>
    <row r="30" spans="1:263" s="33" customFormat="1" x14ac:dyDescent="0.3">
      <c r="A30" s="33" t="s">
        <v>185</v>
      </c>
      <c r="C30" s="33">
        <f t="shared" si="143"/>
        <v>2.6999999999999993</v>
      </c>
      <c r="E30" s="33">
        <f t="shared" ref="E30:E35" si="184">ABS(E19-D19)</f>
        <v>3.8999999999999986</v>
      </c>
      <c r="G30" s="33">
        <f t="shared" ref="G30:H30" si="185">ABS(G19-F19)</f>
        <v>6.4</v>
      </c>
      <c r="H30" s="33">
        <f t="shared" si="185"/>
        <v>2.1999999999999993</v>
      </c>
      <c r="J30" s="33">
        <f t="shared" ref="J30:J35" si="186">ABS(J19-I19)</f>
        <v>0.49000000000000021</v>
      </c>
      <c r="K30" s="33">
        <f t="shared" ref="K30" si="187">ABS(K19-J19)</f>
        <v>12.29</v>
      </c>
      <c r="L30" s="33">
        <f t="shared" ref="L30:L35" si="188">ABS(L19-K19)</f>
        <v>3.9419461960893329</v>
      </c>
      <c r="N30" s="33">
        <f t="shared" ref="N30:N35" si="189">ABS(N19-M19)</f>
        <v>1.3000000000000007</v>
      </c>
      <c r="Q30" s="33">
        <f t="shared" ref="Q30:Q35" si="190">ABS(Q19-P19)</f>
        <v>0</v>
      </c>
      <c r="T30" s="33">
        <f>ABS(T19-S19)</f>
        <v>1.3599999999999994</v>
      </c>
      <c r="U30" s="33">
        <f t="shared" ref="U30" si="191">ABS(U19-T19)</f>
        <v>8.69</v>
      </c>
      <c r="W30" s="33">
        <f t="shared" ref="W30:W33" si="192">ABS(W19-V19)</f>
        <v>3.9999999999999147E-2</v>
      </c>
      <c r="X30" s="33">
        <f t="shared" ref="X30:X35" si="193">ABS(X19-W19)</f>
        <v>1.33</v>
      </c>
      <c r="Z30" s="33">
        <f t="shared" ref="Z30:Z35" si="194">ABS(Z19-Y19)</f>
        <v>5.2412478683920174</v>
      </c>
      <c r="AA30" s="33">
        <f t="shared" ref="AA30:AA35" si="195">ABS(AA19-Z19)</f>
        <v>0.13207610258467817</v>
      </c>
      <c r="AB30" s="33">
        <f t="shared" ref="AB30:AB35" si="196">ABS(AB19-Z19)</f>
        <v>4.637686310180209</v>
      </c>
      <c r="AD30" s="33">
        <f t="shared" ref="AD30:AD35" si="197">ABS(AD19-AC19)</f>
        <v>0.39359908479275196</v>
      </c>
      <c r="AE30" s="33">
        <f t="shared" ref="AE30:AE31" si="198">ABS(AE19-AC19)</f>
        <v>3.885024855789565E-2</v>
      </c>
      <c r="AF30" s="33">
        <f t="shared" ref="AF30" si="199">ABS(AF19-AE19)</f>
        <v>0.56153923335882139</v>
      </c>
      <c r="AH30" s="33">
        <f t="shared" ref="AH30" si="200">ABS(AH19-AG19)</f>
        <v>4.629999999999999</v>
      </c>
      <c r="AI30" s="33">
        <f>ABS(AI19-AH19)</f>
        <v>2.84</v>
      </c>
      <c r="AK30" s="33">
        <f t="shared" ref="AK30:AL30" si="201">ABS(AK19-AJ19)</f>
        <v>0.52</v>
      </c>
      <c r="AL30" s="33">
        <f t="shared" si="201"/>
        <v>1.38</v>
      </c>
      <c r="AN30" s="33">
        <f t="shared" ref="AN30:AO30" si="202">ABS(AN19-AM19)</f>
        <v>3.8208168642951268</v>
      </c>
      <c r="AO30" s="33">
        <f t="shared" si="202"/>
        <v>3.0473033278082333</v>
      </c>
      <c r="AQ30" s="33">
        <f t="shared" ref="AQ30:AR30" si="203">ABS(AQ19-AP19)</f>
        <v>0.72496475478805555</v>
      </c>
      <c r="AR30" s="33">
        <f t="shared" si="203"/>
        <v>9.4730213923108764E-3</v>
      </c>
      <c r="AT30" s="33">
        <f t="shared" ref="AT30:AU30" si="204">ABS(AT19-AS19)</f>
        <v>0.69</v>
      </c>
      <c r="AU30" s="33">
        <f t="shared" si="204"/>
        <v>2.06</v>
      </c>
      <c r="AW30" s="33">
        <f t="shared" ref="AW30:AX30" si="205">ABS(AW19-AV19)</f>
        <v>0.60000000000000009</v>
      </c>
      <c r="AX30" s="33">
        <f t="shared" si="205"/>
        <v>0.93000000000000016</v>
      </c>
      <c r="AZ30" s="33">
        <f t="shared" ref="AZ30" si="206">ABS(AZ19-AY19)</f>
        <v>0.78914393878802791</v>
      </c>
      <c r="BB30" s="33">
        <f t="shared" ref="BB30" si="207">ABS(BB19-BA19)</f>
        <v>5.4915595063614591</v>
      </c>
      <c r="BH30" s="33">
        <f t="shared" ref="BH30:BI30" si="208">ABS(BH19-BG19)</f>
        <v>1.3999999999999986</v>
      </c>
      <c r="BI30" s="33">
        <f t="shared" si="208"/>
        <v>8.7999999999999972</v>
      </c>
      <c r="BK30" s="33">
        <f t="shared" ref="BK30:BM30" si="209">ABS(BK19-BJ19)</f>
        <v>9.3625122521299868</v>
      </c>
      <c r="BL30" s="33">
        <f t="shared" si="209"/>
        <v>8.2466259518962541</v>
      </c>
      <c r="BM30" s="33">
        <f t="shared" si="209"/>
        <v>1.4193621352635155</v>
      </c>
      <c r="BP30" s="33">
        <f t="shared" ref="BP30" si="210">ABS(BP19-BO19)</f>
        <v>0.80465071119957265</v>
      </c>
      <c r="BR30" s="33">
        <f t="shared" ref="BR30" si="211">ABS(BR19-BQ19)</f>
        <v>8.1576410448274999</v>
      </c>
      <c r="BU30" s="33">
        <f t="shared" ref="BU30:BU32" si="212">ABS(BU19-BT19)</f>
        <v>2.3717978247441405</v>
      </c>
      <c r="BV30" s="33">
        <f t="shared" ref="BV30:BW35" si="213">ABS(BV19-BU19)</f>
        <v>9.2592407452107395E-2</v>
      </c>
      <c r="BW30" s="33">
        <f t="shared" si="213"/>
        <v>10.343041827847054</v>
      </c>
      <c r="BY30" s="33">
        <f t="shared" ref="BY30" si="214">ABS(BY19-BX19)</f>
        <v>0.91691619179458961</v>
      </c>
      <c r="CA30" s="33">
        <f t="shared" ref="CA30:CA35" si="215">ABS(CA19-BY19)</f>
        <v>9.2579718811222556</v>
      </c>
      <c r="CB30" s="33">
        <f t="shared" ref="CB30:CB35" si="216">ABS(CA19-BZ19)</f>
        <v>2.7131746137263626</v>
      </c>
      <c r="CD30" s="33">
        <f t="shared" ref="CD30:CE30" si="217">ABS(CD19-CC19)</f>
        <v>0.32364653852483372</v>
      </c>
      <c r="CE30" s="33">
        <f t="shared" si="217"/>
        <v>1.8441332573690365</v>
      </c>
      <c r="CG30" s="33">
        <f t="shared" ref="CG30:CH30" si="218">ABS(CG19-CF19)</f>
        <v>1.2816055183910313</v>
      </c>
      <c r="CH30" s="33">
        <f t="shared" si="218"/>
        <v>4.5106237792378323E-3</v>
      </c>
      <c r="CK30" s="33">
        <f t="shared" ref="CK30:CK35" si="219">ABS(CK19-CJ19)</f>
        <v>0</v>
      </c>
      <c r="CM30" s="33">
        <f t="shared" ref="CM30" si="220">ABS(CM19-CL19)</f>
        <v>0</v>
      </c>
      <c r="CO30" s="33">
        <f t="shared" ref="CO30:CP35" si="221">ABS(CO19-CN19)</f>
        <v>2.1182040135844931</v>
      </c>
      <c r="CP30" s="33">
        <f t="shared" si="221"/>
        <v>3.1536645582086464E-4</v>
      </c>
      <c r="CS30" s="33">
        <f t="shared" ref="CS30:CS35" si="222">ABS(CS19-CR19)</f>
        <v>4.8214630380236656E-2</v>
      </c>
      <c r="CU30" s="33">
        <f t="shared" si="157"/>
        <v>7.6000000000000014</v>
      </c>
      <c r="CV30" s="33">
        <f t="shared" ref="CV30:CV35" si="223">ABS(CV19-CU19)</f>
        <v>2</v>
      </c>
      <c r="CZ30" s="33">
        <f t="shared" ref="CZ30:CZ35" si="224">ABS(CZ19-CY19)</f>
        <v>15.21</v>
      </c>
      <c r="DB30" s="33">
        <f>ABS(DB19-DA19)</f>
        <v>4.7</v>
      </c>
      <c r="DD30" s="33">
        <f t="shared" ref="DD30:DD35" si="225">ABS(DD19-DC19)</f>
        <v>19.173225871555385</v>
      </c>
      <c r="DF30" s="33">
        <f t="shared" ref="DF30:DG30" si="226">ABS(DF19-DE19)</f>
        <v>7.9631155616860436</v>
      </c>
      <c r="DG30" s="33">
        <f t="shared" si="226"/>
        <v>4.9598731705569374</v>
      </c>
      <c r="DI30" s="33">
        <f t="shared" ref="DI30" si="227">ABS(DI19-DH19)</f>
        <v>15.632371905765419</v>
      </c>
      <c r="DK30" s="33">
        <f t="shared" ref="DK30:DK35" si="228">ABS(DK19-DJ19)</f>
        <v>4.4217851739788205</v>
      </c>
      <c r="DL30" s="33">
        <f t="shared" ref="DL30:DL35" si="229">ABS(DL19-DK19)</f>
        <v>1.7301059001512868</v>
      </c>
      <c r="DM30" s="33">
        <f t="shared" si="159"/>
        <v>0.62163388804840913</v>
      </c>
      <c r="DO30" s="33">
        <f t="shared" ref="DO30:DP30" si="230">ABS(DO19-DN19)</f>
        <v>1.1999999999999997</v>
      </c>
      <c r="DP30" s="33">
        <f t="shared" si="230"/>
        <v>9.2999999999999989</v>
      </c>
      <c r="DR30" s="33">
        <f t="shared" ref="DR30:DS30" si="231">ABS(DR19-DQ19)</f>
        <v>0.47573113883937101</v>
      </c>
      <c r="DS30" s="33">
        <f t="shared" si="231"/>
        <v>0.20000000000000018</v>
      </c>
      <c r="DU30" s="33">
        <f t="shared" ref="DU30:DV30" si="232">ABS(DU19-DT19)</f>
        <v>7.24</v>
      </c>
      <c r="DV30" s="33">
        <f t="shared" si="232"/>
        <v>0.65556600940846721</v>
      </c>
      <c r="DX30" s="33">
        <f t="shared" ref="DX30" si="233">ABS(DX19-DW19)</f>
        <v>0.19999999999999973</v>
      </c>
      <c r="DZ30" s="33">
        <f t="shared" ref="DZ30:EA30" si="234">ABS(DZ19-DY19)</f>
        <v>1.8739352640545146</v>
      </c>
      <c r="EA30" s="33">
        <f t="shared" si="234"/>
        <v>2.8413990367425956</v>
      </c>
      <c r="EC30" s="33">
        <f t="shared" ref="EC30:EC35" si="235">ABS(EC19-EB19)</f>
        <v>1.2395493239859796</v>
      </c>
      <c r="ED30" s="33">
        <f t="shared" ref="ED30" si="236">ABS(ED19-EC19)</f>
        <v>1.9748372558838261</v>
      </c>
      <c r="EF30" s="33">
        <f t="shared" ref="EF30" si="237">ABS(EF19-EE19)</f>
        <v>2.91</v>
      </c>
      <c r="EH30" s="33">
        <f t="shared" si="162"/>
        <v>2.25</v>
      </c>
      <c r="EM30" s="33">
        <f t="shared" ref="EM30:EN30" si="238">ABS(EM19-EL19)</f>
        <v>2.5284076433121072</v>
      </c>
      <c r="EN30" s="33">
        <f t="shared" si="238"/>
        <v>0.23000000000000043</v>
      </c>
      <c r="EP30" s="33">
        <f t="shared" ref="EP30:EQ30" si="239">ABS(EP19-EO19)</f>
        <v>8.5087514872572925</v>
      </c>
      <c r="EQ30" s="33">
        <f t="shared" si="239"/>
        <v>19.685897435897431</v>
      </c>
      <c r="ES30" s="33">
        <f>ABS(ES19-ER19)</f>
        <v>4.82</v>
      </c>
      <c r="ET30" s="33">
        <f t="shared" ref="ET30:EU30" si="240">ABS(ET19-ES19)</f>
        <v>0</v>
      </c>
      <c r="EU30" s="33">
        <f t="shared" si="240"/>
        <v>6.7899999999999991</v>
      </c>
      <c r="EW30" s="33">
        <f t="shared" ref="EW30" si="241">ABS(EW19-EV19)</f>
        <v>3.2335599883358412</v>
      </c>
      <c r="EY30" s="33">
        <f t="shared" ref="EY30:EY35" si="242">ABS(EY19-EW19)</f>
        <v>39.456982643524697</v>
      </c>
      <c r="FA30" s="33">
        <f t="shared" ref="FA30" si="243">ABS(FA19-EZ19)</f>
        <v>0</v>
      </c>
      <c r="FC30" s="33">
        <f t="shared" ref="FC30" si="244">ABS(FC19-FB19)</f>
        <v>2.4399999999999977</v>
      </c>
      <c r="FE30" s="33">
        <f>ABS(FE19-FD19)</f>
        <v>1.5073105170985999</v>
      </c>
      <c r="FG30" s="33">
        <f t="shared" ref="FG30:FI30" si="245">ABS(FG19-FF19)</f>
        <v>2.8527907902391227</v>
      </c>
      <c r="FH30" s="33">
        <f t="shared" si="245"/>
        <v>2.8667844107581413</v>
      </c>
      <c r="FI30" s="33">
        <f t="shared" si="245"/>
        <v>3.7915785509101454</v>
      </c>
      <c r="FK30" s="33">
        <f t="shared" ref="FJ29:FK35" si="246">ABS(FK19-FJ19)</f>
        <v>7.2726275851481432</v>
      </c>
      <c r="FM30" s="33">
        <f>ABS(FM19-FL19)</f>
        <v>11.445944395579183</v>
      </c>
      <c r="FO30" s="33">
        <f t="shared" si="169"/>
        <v>35.6</v>
      </c>
      <c r="FR30" s="33">
        <f t="shared" ref="FR30" si="247">ABS(FR19-FQ19)</f>
        <v>68.125706159116191</v>
      </c>
      <c r="FU30" s="33">
        <f t="shared" ref="FU30:FV30" si="248">ABS(FU19-FT19)</f>
        <v>6.4875167208023399</v>
      </c>
      <c r="FV30" s="33">
        <f t="shared" si="248"/>
        <v>5.620490941143359</v>
      </c>
      <c r="GR30" s="33">
        <f t="shared" si="170"/>
        <v>3.75308770437662</v>
      </c>
      <c r="GU30" s="33">
        <f t="shared" ref="GU30" si="249">ABS(GU19-GT19)</f>
        <v>2.0392123451247137</v>
      </c>
      <c r="HA30" s="33">
        <f t="shared" ref="HA30:HA35" si="250">ABS(GZ19-HA19)</f>
        <v>0.60999999999999943</v>
      </c>
      <c r="HC30" s="33">
        <f t="shared" ref="HC30" si="251">ABS(HB19-HC19)</f>
        <v>4.0600000000000023</v>
      </c>
      <c r="HE30" s="33">
        <f t="shared" ref="HE30" si="252">ABS(HD19-HE19)</f>
        <v>5.1499999999999986</v>
      </c>
      <c r="HG30" s="33">
        <f t="shared" ref="HG30" si="253">ABS(HF19-HG19)</f>
        <v>1.3299999999999983</v>
      </c>
      <c r="HI30" s="33">
        <f t="shared" ref="HI30" si="254">ABS(HH19-HI19)</f>
        <v>0.13999999999999702</v>
      </c>
      <c r="HK30" s="33">
        <f t="shared" ref="HK30" si="255">ABS(HJ19-HK19)</f>
        <v>3.8200000000000003</v>
      </c>
      <c r="HM30" s="33">
        <f t="shared" ref="HM30" si="256">ABS(HL19-HM19)</f>
        <v>6.0399999999999991</v>
      </c>
      <c r="HO30" s="33">
        <f t="shared" ref="HO30" si="257">ABS(HN19-HO19)</f>
        <v>4.0990000000000002</v>
      </c>
      <c r="HQ30" s="33">
        <f t="shared" ref="HQ30" si="258">ABS(HP19-HQ19)</f>
        <v>1.5699999999999994</v>
      </c>
      <c r="HS30" s="33">
        <f t="shared" ref="HS30" si="259">ABS(HR19-HS19)</f>
        <v>3.3600000000000003</v>
      </c>
      <c r="HU30" s="33">
        <f t="shared" ref="HU30" si="260">ABS(HT19-HU19)</f>
        <v>3.4990000000000006</v>
      </c>
      <c r="HW30" s="33">
        <f t="shared" ref="HW30:HY30" si="261">ABS(HV19-HW19)</f>
        <v>3.0700000000000003</v>
      </c>
      <c r="HY30" s="33">
        <f t="shared" si="261"/>
        <v>2.1499999999999986</v>
      </c>
      <c r="IA30" s="33">
        <f t="shared" ref="IA30" si="262">ABS(HZ19-IA19)</f>
        <v>6.629999999999999</v>
      </c>
      <c r="IC30" s="33">
        <f t="shared" ref="IC30" si="263">ABS(IB19-IC19)</f>
        <v>4.9200000000000017</v>
      </c>
      <c r="IE30" s="33">
        <f t="shared" ref="IE30" si="264">ABS(ID19-IE19)</f>
        <v>11.209999999999999</v>
      </c>
      <c r="IG30" s="33">
        <f t="shared" ref="IG30" si="265">ABS(IF19-IG19)</f>
        <v>1.9999999999999574E-2</v>
      </c>
      <c r="II30" s="33">
        <f t="shared" ref="II30" si="266">ABS(IH19-II19)</f>
        <v>0.38999999999999702</v>
      </c>
      <c r="IN30" s="33">
        <f t="shared" ref="IN30:IP30" si="267">ABS(IM19-IN19)</f>
        <v>0.5</v>
      </c>
      <c r="IP30" s="33">
        <f t="shared" si="267"/>
        <v>0.98</v>
      </c>
      <c r="IR30" s="33">
        <f t="shared" ref="IR30" si="268">ABS(IQ19-IR19)</f>
        <v>0.7</v>
      </c>
      <c r="IT30" s="33">
        <f t="shared" si="181"/>
        <v>0.26696724297448626</v>
      </c>
      <c r="IV30" s="33">
        <f t="shared" ref="IV30:IX30" si="269">ABS(IU19-IV19)</f>
        <v>0.15999999999999992</v>
      </c>
      <c r="IX30" s="33">
        <f t="shared" si="269"/>
        <v>6.0448252142796441</v>
      </c>
      <c r="IZ30" s="33">
        <f t="shared" ref="IZ30" si="270">ABS(IY19-IZ19)</f>
        <v>0.46500539961326126</v>
      </c>
      <c r="JC30" s="33">
        <f t="shared" ref="JC30" si="271">ABS(JB19-JC19)</f>
        <v>0.35268500628699351</v>
      </c>
    </row>
    <row r="31" spans="1:263" s="33" customFormat="1" x14ac:dyDescent="0.3">
      <c r="A31" s="33" t="s">
        <v>188</v>
      </c>
      <c r="C31" s="33">
        <f t="shared" si="143"/>
        <v>5.7199999999999989</v>
      </c>
      <c r="E31" s="33">
        <f t="shared" si="184"/>
        <v>5</v>
      </c>
      <c r="G31" s="33">
        <f t="shared" ref="G31:H31" si="272">ABS(G20-F20)</f>
        <v>0.70000000000000018</v>
      </c>
      <c r="H31" s="33">
        <f t="shared" si="272"/>
        <v>7.8999999999999995</v>
      </c>
      <c r="J31" s="33">
        <f t="shared" si="186"/>
        <v>1.036114026942915</v>
      </c>
      <c r="K31" s="33">
        <f t="shared" ref="K31:K35" si="273">ABS(K20-J20)</f>
        <v>3.3743854174886501</v>
      </c>
      <c r="L31" s="33">
        <f t="shared" si="188"/>
        <v>2.2296092325644352</v>
      </c>
      <c r="N31" s="33">
        <f t="shared" si="189"/>
        <v>1.9000000000000004</v>
      </c>
      <c r="Q31" s="33">
        <f t="shared" si="190"/>
        <v>0</v>
      </c>
      <c r="T31" s="33">
        <f t="shared" ref="T31:U31" si="274">ABS(T20-S20)</f>
        <v>0.25999999999999979</v>
      </c>
      <c r="U31" s="33">
        <f t="shared" si="274"/>
        <v>1.3800000000000008</v>
      </c>
      <c r="W31" s="33">
        <f t="shared" si="192"/>
        <v>1.6799999999999997</v>
      </c>
      <c r="X31" s="33">
        <f t="shared" si="193"/>
        <v>2.6884594761806566</v>
      </c>
      <c r="Z31" s="33">
        <f t="shared" si="194"/>
        <v>3.0611562510449057</v>
      </c>
      <c r="AA31" s="33">
        <f t="shared" si="195"/>
        <v>3.1514361186344342</v>
      </c>
      <c r="AB31" s="33">
        <f t="shared" si="196"/>
        <v>4.1110140429233581</v>
      </c>
      <c r="AD31" s="33">
        <f t="shared" si="197"/>
        <v>1.6275604698740438</v>
      </c>
      <c r="AE31" s="33">
        <f t="shared" si="198"/>
        <v>7.8132880716103026E-2</v>
      </c>
      <c r="AF31" s="33">
        <f t="shared" ref="AF31" si="275">ABS(AF20-AE20)</f>
        <v>8.3959860728121116E-2</v>
      </c>
      <c r="AH31" s="33">
        <f t="shared" ref="AH31:AI31" si="276">ABS(AH20-AG20)</f>
        <v>3.9974327713662317</v>
      </c>
      <c r="AI31" s="33">
        <f t="shared" si="276"/>
        <v>3.0674540825571306E-2</v>
      </c>
      <c r="AK31" s="33">
        <f t="shared" ref="AK31:AL31" si="277">ABS(AK20-AJ20)</f>
        <v>1.2600000000000002</v>
      </c>
      <c r="AL31" s="33">
        <f t="shared" si="277"/>
        <v>1.1199999999999997</v>
      </c>
      <c r="AN31" s="33">
        <f t="shared" ref="AN31:AO31" si="278">ABS(AN20-AM20)</f>
        <v>6.3878617875812811</v>
      </c>
      <c r="AO31" s="33">
        <f t="shared" si="278"/>
        <v>1.4280249904373328</v>
      </c>
      <c r="AQ31" s="33">
        <f t="shared" ref="AQ31:AR31" si="279">ABS(AQ20-AP20)</f>
        <v>7.578417113849012E-2</v>
      </c>
      <c r="AR31" s="33">
        <f t="shared" si="279"/>
        <v>0</v>
      </c>
      <c r="AT31" s="33">
        <f t="shared" ref="AT31:AU31" si="280">ABS(AT20-AS20)</f>
        <v>1.0000000000000009E-2</v>
      </c>
      <c r="AU31" s="33">
        <f t="shared" si="280"/>
        <v>0.7327282219367256</v>
      </c>
      <c r="AW31" s="33">
        <f t="shared" ref="AW31:AX31" si="281">ABS(AW20-AV20)</f>
        <v>0.71851156841035024</v>
      </c>
      <c r="AX31" s="33">
        <f t="shared" si="281"/>
        <v>0.15917312037844322</v>
      </c>
      <c r="AZ31" s="33">
        <f t="shared" ref="AZ31" si="282">ABS(AZ20-AY20)</f>
        <v>0.13630062118424924</v>
      </c>
      <c r="BB31" s="33">
        <f t="shared" ref="BB31" si="283">ABS(BB20-BA20)</f>
        <v>5.8394771081088557</v>
      </c>
      <c r="BH31" s="33">
        <f t="shared" ref="BH31:BI31" si="284">ABS(BH20-BG20)</f>
        <v>0.10000000000000009</v>
      </c>
      <c r="BI31" s="33">
        <f t="shared" si="284"/>
        <v>0</v>
      </c>
      <c r="BK31" s="33">
        <f t="shared" ref="BK31:BM31" si="285">ABS(BK20-BJ20)</f>
        <v>7.9167609138204087E-2</v>
      </c>
      <c r="BL31" s="33">
        <f t="shared" si="285"/>
        <v>0</v>
      </c>
      <c r="BM31" s="33">
        <f t="shared" si="285"/>
        <v>0</v>
      </c>
      <c r="BP31" s="33">
        <f t="shared" ref="BP31" si="286">ABS(BP20-BO20)</f>
        <v>0.47332394776445463</v>
      </c>
      <c r="BR31" s="33">
        <f t="shared" ref="BR31" si="287">ABS(BR20-BQ20)</f>
        <v>0.24288188309934933</v>
      </c>
      <c r="BU31" s="33">
        <f t="shared" si="212"/>
        <v>0.79881016225989732</v>
      </c>
      <c r="BV31" s="33">
        <f t="shared" si="213"/>
        <v>2.7230673119748285</v>
      </c>
      <c r="BW31" s="33">
        <f t="shared" si="213"/>
        <v>1.3077312554318112</v>
      </c>
      <c r="BY31" s="33">
        <f t="shared" ref="BY31" si="288">ABS(BY20-BX20)</f>
        <v>0</v>
      </c>
      <c r="CA31" s="33">
        <f t="shared" si="215"/>
        <v>7.563736327681756</v>
      </c>
      <c r="CB31" s="33">
        <f t="shared" si="216"/>
        <v>6.6476101841370649E-3</v>
      </c>
      <c r="CD31" s="33">
        <f t="shared" ref="CD31:CE31" si="289">ABS(CD20-CC20)</f>
        <v>0.48930159780907706</v>
      </c>
      <c r="CE31" s="33">
        <f t="shared" si="289"/>
        <v>2.698731596149806E-2</v>
      </c>
      <c r="CG31" s="33">
        <f t="shared" ref="CG31:CH31" si="290">ABS(CG20-CF20)</f>
        <v>0.39769530141257103</v>
      </c>
      <c r="CH31" s="33">
        <f t="shared" si="290"/>
        <v>0.46678443361030819</v>
      </c>
      <c r="CK31" s="33">
        <f>ABS(CK20-CJ20)</f>
        <v>0.16999999999999993</v>
      </c>
      <c r="CM31" s="33">
        <f t="shared" ref="CM31" si="291">ABS(CM20-CL20)</f>
        <v>0</v>
      </c>
      <c r="CO31" s="33">
        <f t="shared" si="221"/>
        <v>9.2200839394590339E-2</v>
      </c>
      <c r="CP31" s="33">
        <f t="shared" si="221"/>
        <v>0</v>
      </c>
      <c r="CS31" s="33">
        <f t="shared" si="222"/>
        <v>3.7</v>
      </c>
      <c r="CU31" s="33">
        <f>ABS(CU20-CT20)</f>
        <v>1.3000000000000007</v>
      </c>
      <c r="CV31" s="33">
        <f t="shared" si="223"/>
        <v>0</v>
      </c>
      <c r="CZ31" s="33">
        <f t="shared" si="224"/>
        <v>1.87</v>
      </c>
      <c r="DB31" s="33">
        <f t="shared" ref="DB31" si="292">ABS(DB20-DA20)</f>
        <v>0.64000000000000012</v>
      </c>
      <c r="DD31" s="33">
        <f t="shared" si="225"/>
        <v>0</v>
      </c>
      <c r="DF31" s="33">
        <f>ABS(DF20-DE20)</f>
        <v>2.8155957221933603</v>
      </c>
      <c r="DG31" s="33">
        <f t="shared" ref="DG31" si="293">ABS(DG20-DF20)</f>
        <v>1.9422997689124557</v>
      </c>
      <c r="DI31" s="33">
        <f t="shared" ref="DI31" si="294">ABS(DI20-DH20)</f>
        <v>0.4452911916819064</v>
      </c>
      <c r="DK31" s="33">
        <f t="shared" si="228"/>
        <v>2.0050226928895607</v>
      </c>
      <c r="DL31" s="33">
        <f t="shared" si="229"/>
        <v>0.18105900151286036</v>
      </c>
      <c r="DM31" s="33">
        <f t="shared" si="159"/>
        <v>2.0726172465961312E-2</v>
      </c>
      <c r="DO31" s="33">
        <f t="shared" ref="DO31:DP31" si="295">ABS(DO20-DN20)</f>
        <v>3</v>
      </c>
      <c r="DP31" s="33">
        <f t="shared" si="295"/>
        <v>0.19999999999999973</v>
      </c>
      <c r="DR31" s="33">
        <f t="shared" ref="DR31:DS31" si="296">ABS(DR20-DQ20)</f>
        <v>7.4281112889148071E-2</v>
      </c>
      <c r="DS31" s="33">
        <f t="shared" si="296"/>
        <v>0</v>
      </c>
      <c r="DU31" s="33">
        <f t="shared" ref="DU31:DV31" si="297">ABS(DU20-DT20)</f>
        <v>7.1999999999999984</v>
      </c>
      <c r="DV31" s="33">
        <f t="shared" si="297"/>
        <v>0.21533380042037642</v>
      </c>
      <c r="DX31" s="33">
        <f t="shared" ref="DX31" si="298">ABS(DX20-DW20)</f>
        <v>0.10000000000000009</v>
      </c>
      <c r="DZ31" s="33">
        <f t="shared" ref="DZ31:EA31" si="299">ABS(DZ20-DY20)</f>
        <v>0.55103371400930001</v>
      </c>
      <c r="EA31" s="33">
        <f t="shared" si="299"/>
        <v>0.11567501629965982</v>
      </c>
      <c r="EC31" s="33">
        <f t="shared" si="235"/>
        <v>3.5453179769654675E-2</v>
      </c>
      <c r="ED31" s="33">
        <f t="shared" ref="ED31" si="300">ABS(ED20-EC20)</f>
        <v>0.23122183274912356</v>
      </c>
      <c r="EF31" s="33">
        <f t="shared" ref="EF31" si="301">ABS(EF20-EE20)</f>
        <v>2.0000000000000018E-2</v>
      </c>
      <c r="EH31" s="33">
        <f t="shared" si="162"/>
        <v>0.14999999999999991</v>
      </c>
      <c r="EM31" s="33">
        <f t="shared" ref="EM31:EN31" si="302">ABS(EM20-EL20)</f>
        <v>6.0849044585987286</v>
      </c>
      <c r="EN31" s="33">
        <f t="shared" si="302"/>
        <v>6.0000000000002274E-2</v>
      </c>
      <c r="EP31" s="33">
        <f t="shared" ref="EP31:ES31" si="303">ABS(EP20-EO20)</f>
        <v>6.8886984743881516</v>
      </c>
      <c r="EQ31" s="33">
        <f t="shared" si="303"/>
        <v>6.6739926739926734</v>
      </c>
      <c r="ES31" s="33">
        <f t="shared" si="303"/>
        <v>0.16000000000000014</v>
      </c>
      <c r="ET31" s="33">
        <f t="shared" ref="ET31:EU31" si="304">ABS(ET20-ES20)</f>
        <v>0</v>
      </c>
      <c r="EU31" s="33">
        <f t="shared" si="304"/>
        <v>0.40000000000000036</v>
      </c>
      <c r="EW31" s="33">
        <f t="shared" ref="EW31" si="305">ABS(EW20-EV20)</f>
        <v>0.8064766708901443</v>
      </c>
      <c r="EY31" s="33">
        <f t="shared" si="242"/>
        <v>4.4497834149236013</v>
      </c>
      <c r="FA31" s="33">
        <f t="shared" ref="FA31" si="306">ABS(FA20-EZ20)</f>
        <v>0</v>
      </c>
      <c r="FC31" s="33">
        <f t="shared" ref="FC31" si="307">ABS(FC20-FB20)</f>
        <v>1.1600000000000001</v>
      </c>
      <c r="FE31" s="33">
        <f>ABS(FE20-FD20)</f>
        <v>1.4254490164400946E-3</v>
      </c>
      <c r="FG31" s="33">
        <f t="shared" ref="FG31:FI31" si="308">ABS(FG20-FF20)</f>
        <v>0.46936713511527506</v>
      </c>
      <c r="FH31" s="33">
        <f t="shared" si="308"/>
        <v>0.44425017559347268</v>
      </c>
      <c r="FI31" s="33">
        <f t="shared" si="308"/>
        <v>1.3679135730610583</v>
      </c>
      <c r="FK31" s="33">
        <f t="shared" si="246"/>
        <v>1.7430423054148299</v>
      </c>
      <c r="FM31" s="33">
        <f t="shared" ref="FM31" si="309">ABS(FM20-FL20)</f>
        <v>8.4133236452637039E-2</v>
      </c>
      <c r="FO31" s="33">
        <f t="shared" si="169"/>
        <v>7.3000000000000007</v>
      </c>
      <c r="FR31" s="33">
        <f t="shared" ref="FR31" si="310">ABS(FR20-FQ20)</f>
        <v>2.9131781718182088</v>
      </c>
      <c r="FU31" s="33">
        <f t="shared" ref="FU31:FV31" si="311">ABS(FU20-FT20)</f>
        <v>6.2037655730719177E-2</v>
      </c>
      <c r="FV31" s="33">
        <f t="shared" si="311"/>
        <v>0</v>
      </c>
      <c r="GR31" s="33">
        <f t="shared" si="170"/>
        <v>0.60238511025253594</v>
      </c>
      <c r="GU31" s="33">
        <f t="shared" ref="GU31" si="312">ABS(GU20-GT20)</f>
        <v>6.6520958845074833</v>
      </c>
      <c r="HA31" s="33">
        <f t="shared" si="250"/>
        <v>1.5900000000000016</v>
      </c>
      <c r="HC31" s="33">
        <f t="shared" ref="HC31" si="313">ABS(HB20-HC20)</f>
        <v>5.7899999999999991</v>
      </c>
      <c r="HE31" s="33">
        <f t="shared" ref="HE31" si="314">ABS(HD20-HE20)</f>
        <v>2.5699999999999985</v>
      </c>
      <c r="HG31" s="33">
        <f t="shared" ref="HG31" si="315">ABS(HF20-HG20)</f>
        <v>1.5400000000000027</v>
      </c>
      <c r="HI31" s="33">
        <f t="shared" ref="HI31" si="316">ABS(HH20-HI20)</f>
        <v>2.3500000000000014</v>
      </c>
      <c r="HK31" s="33">
        <f t="shared" ref="HK31" si="317">ABS(HJ20-HK20)</f>
        <v>4.7800000000000011</v>
      </c>
      <c r="HM31" s="33">
        <f t="shared" ref="HM31" si="318">ABS(HL20-HM20)</f>
        <v>3.25</v>
      </c>
      <c r="HO31" s="33">
        <f t="shared" ref="HO31" si="319">ABS(HN20-HO20)</f>
        <v>3.6799999999999997</v>
      </c>
      <c r="HQ31" s="33">
        <f t="shared" ref="HQ31" si="320">ABS(HP20-HQ20)</f>
        <v>0.33999999999999986</v>
      </c>
      <c r="HS31" s="33">
        <f t="shared" ref="HS31" si="321">ABS(HR20-HS20)</f>
        <v>0.82000000000000028</v>
      </c>
      <c r="HU31" s="33">
        <f t="shared" ref="HU31" si="322">ABS(HT20-HU20)</f>
        <v>2.3399999999999963</v>
      </c>
      <c r="HW31" s="33">
        <f t="shared" ref="HW31:HY31" si="323">ABS(HV20-HW20)</f>
        <v>3.879999999999999</v>
      </c>
      <c r="HY31" s="33">
        <f t="shared" si="323"/>
        <v>0.23000000000000043</v>
      </c>
      <c r="IA31" s="33">
        <f t="shared" ref="IA31" si="324">ABS(HZ20-IA20)</f>
        <v>1.9599999999999991</v>
      </c>
      <c r="IC31" s="33">
        <f t="shared" ref="IC31" si="325">ABS(IB20-IC20)</f>
        <v>5.6999999999999993</v>
      </c>
      <c r="IE31" s="33">
        <f t="shared" ref="IE31" si="326">ABS(ID20-IE20)</f>
        <v>5.3099999999999987</v>
      </c>
      <c r="IG31" s="33">
        <f t="shared" ref="IG31" si="327">ABS(IF20-IG20)</f>
        <v>0.43000000000000327</v>
      </c>
      <c r="II31" s="33">
        <f t="shared" ref="II31" si="328">ABS(IH20-II20)</f>
        <v>1.9999999999999574E-2</v>
      </c>
      <c r="IN31" s="33">
        <f t="shared" ref="IN31:IP31" si="329">ABS(IM20-IN20)</f>
        <v>0.30000000000000004</v>
      </c>
      <c r="IP31" s="33">
        <f t="shared" si="329"/>
        <v>2.08</v>
      </c>
      <c r="IR31" s="33">
        <f t="shared" ref="IR31" si="330">ABS(IQ20-IR20)</f>
        <v>0.30000000000000004</v>
      </c>
      <c r="IT31" s="33">
        <f t="shared" si="181"/>
        <v>1.7852434104131707E-2</v>
      </c>
      <c r="IV31" s="33">
        <f t="shared" ref="IV31:IX31" si="331">ABS(IU20-IV20)</f>
        <v>9.9999999999999534E-3</v>
      </c>
      <c r="IX31" s="33">
        <f t="shared" si="331"/>
        <v>0</v>
      </c>
      <c r="IZ31" s="33">
        <f t="shared" ref="IZ31" si="332">ABS(IY20-IZ20)</f>
        <v>1.2931350169142135</v>
      </c>
      <c r="JC31" s="33">
        <f t="shared" ref="JC31" si="333">ABS(JB20-JC20)</f>
        <v>1.2739123972908217E-2</v>
      </c>
    </row>
    <row r="32" spans="1:263" s="33" customFormat="1" x14ac:dyDescent="0.3">
      <c r="A32" s="33" t="s">
        <v>192</v>
      </c>
      <c r="C32" s="33">
        <f t="shared" si="143"/>
        <v>0.92999999999999972</v>
      </c>
      <c r="E32" s="33">
        <f t="shared" si="184"/>
        <v>11.6</v>
      </c>
      <c r="G32" s="33">
        <f t="shared" ref="G32:H32" si="334">ABS(G21-F21)</f>
        <v>2.2000000000000002</v>
      </c>
      <c r="H32" s="33">
        <f t="shared" si="334"/>
        <v>3.5999999999999996</v>
      </c>
      <c r="J32" s="33">
        <f t="shared" si="186"/>
        <v>2.98</v>
      </c>
      <c r="K32" s="33">
        <f t="shared" si="273"/>
        <v>6.14</v>
      </c>
      <c r="L32" s="33">
        <f t="shared" si="188"/>
        <v>1.8732020178949149</v>
      </c>
      <c r="N32" s="33">
        <f t="shared" si="189"/>
        <v>0.60000000000000009</v>
      </c>
      <c r="Q32" s="33">
        <f t="shared" si="190"/>
        <v>7.5</v>
      </c>
      <c r="T32" s="33">
        <f t="shared" ref="T32:U32" si="335">ABS(T21-S21)</f>
        <v>0.51000000000000023</v>
      </c>
      <c r="U32" s="33">
        <f t="shared" si="335"/>
        <v>0.89999999999999991</v>
      </c>
      <c r="W32" s="33">
        <f t="shared" si="192"/>
        <v>9.9999999999997868E-3</v>
      </c>
      <c r="X32" s="33">
        <f t="shared" si="193"/>
        <v>0.54</v>
      </c>
      <c r="Z32" s="33">
        <f t="shared" si="194"/>
        <v>1.885846122981242</v>
      </c>
      <c r="AA32" s="33">
        <f t="shared" si="195"/>
        <v>3.8101447821580221</v>
      </c>
      <c r="AB32" s="33">
        <f t="shared" si="196"/>
        <v>2.7986626691963217</v>
      </c>
      <c r="AD32" s="33">
        <f t="shared" si="197"/>
        <v>0.41631781309751986</v>
      </c>
      <c r="AE32" s="33">
        <f>ABS(AE21-AC21)</f>
        <v>5.655806856660256E-3</v>
      </c>
      <c r="AF32" s="33">
        <f t="shared" ref="AF32" si="336">ABS(AF21-AE21)</f>
        <v>0.29997197493659761</v>
      </c>
      <c r="AH32" s="33">
        <f t="shared" ref="AH32" si="337">ABS(AH21-AG21)</f>
        <v>2.6000000000000005</v>
      </c>
      <c r="AI32" s="33">
        <f>ABS(AI21-AH21)</f>
        <v>0.14999999999999947</v>
      </c>
      <c r="AK32" s="33">
        <f t="shared" ref="AK32:AL32" si="338">ABS(AK21-AJ21)</f>
        <v>0.49999999999999994</v>
      </c>
      <c r="AL32" s="33">
        <f t="shared" si="338"/>
        <v>1.02</v>
      </c>
      <c r="AN32" s="33">
        <f t="shared" ref="AN32:AO32" si="339">ABS(AN21-AM21)</f>
        <v>2.9708019890348085</v>
      </c>
      <c r="AO32" s="33">
        <f t="shared" si="339"/>
        <v>2.1037868162692845</v>
      </c>
      <c r="AQ32" s="33">
        <f t="shared" ref="AQ32:AR32" si="340">ABS(AQ21-AP21)</f>
        <v>0.1309505898348908</v>
      </c>
      <c r="AR32" s="33">
        <f t="shared" si="340"/>
        <v>8.9157848398223605E-3</v>
      </c>
      <c r="AT32" s="33">
        <f t="shared" ref="AT32:AU32" si="341">ABS(AT21-AS21)</f>
        <v>0.08</v>
      </c>
      <c r="AU32" s="33">
        <f t="shared" si="341"/>
        <v>0.30000000000000004</v>
      </c>
      <c r="AW32" s="33">
        <f t="shared" ref="AW32:AX32" si="342">ABS(AW21-AV21)</f>
        <v>0.27</v>
      </c>
      <c r="AX32" s="33">
        <f t="shared" si="342"/>
        <v>0.4</v>
      </c>
      <c r="AZ32" s="33">
        <f t="shared" ref="AZ32" si="343">ABS(AZ21-AY21)</f>
        <v>7.198272414620499E-2</v>
      </c>
      <c r="BB32" s="33">
        <f t="shared" ref="BB32" si="344">ABS(BB21-BA21)</f>
        <v>0.69909466039884527</v>
      </c>
      <c r="BH32" s="33">
        <f t="shared" ref="BH32:BI32" si="345">ABS(BH21-BG21)</f>
        <v>0.39999999999999991</v>
      </c>
      <c r="BI32" s="33">
        <f t="shared" si="345"/>
        <v>0.20000000000000018</v>
      </c>
      <c r="BK32" s="33">
        <f t="shared" ref="BK32:BM32" si="346">ABS(BK21-BJ21)</f>
        <v>1.6436703611550931</v>
      </c>
      <c r="BL32" s="33">
        <f t="shared" si="346"/>
        <v>0.84445449747417634</v>
      </c>
      <c r="BM32" s="33">
        <f t="shared" si="346"/>
        <v>6.5973007615170332E-2</v>
      </c>
      <c r="BP32" s="33">
        <f t="shared" ref="BP32" si="347">ABS(BP21-BO21)</f>
        <v>6.4323510850041288E-2</v>
      </c>
      <c r="BR32" s="33">
        <f t="shared" ref="BR32" si="348">ABS(BR21-BQ21)</f>
        <v>0.89395817735739591</v>
      </c>
      <c r="BU32" s="33">
        <f t="shared" si="212"/>
        <v>0.304690818417656</v>
      </c>
      <c r="BV32" s="33">
        <f t="shared" si="213"/>
        <v>0.12235434855870775</v>
      </c>
      <c r="BW32" s="33">
        <f t="shared" si="213"/>
        <v>9.804440376894874E-3</v>
      </c>
      <c r="BY32" s="33">
        <f t="shared" ref="BY32" si="349">ABS(BY21-BX21)</f>
        <v>0.45845809589729503</v>
      </c>
      <c r="CA32" s="33">
        <f t="shared" si="215"/>
        <v>0.78107338095400713</v>
      </c>
      <c r="CB32" s="33">
        <f t="shared" si="216"/>
        <v>0.83759888320148934</v>
      </c>
      <c r="CD32" s="33">
        <f t="shared" ref="CD32:CE32" si="350">ABS(CD21-CC21)</f>
        <v>3.8044445705841201E-2</v>
      </c>
      <c r="CE32" s="33">
        <f t="shared" si="350"/>
        <v>8.9957719871660347E-2</v>
      </c>
      <c r="CG32" s="33">
        <f t="shared" ref="CG32:CH32" si="351">ABS(CG21-CF21)</f>
        <v>0.19887161666964703</v>
      </c>
      <c r="CH32" s="33">
        <f t="shared" si="351"/>
        <v>3.8001260009051352E-2</v>
      </c>
      <c r="CK32" s="33">
        <f t="shared" si="219"/>
        <v>0</v>
      </c>
      <c r="CM32" s="33">
        <f t="shared" ref="CM32" si="352">ABS(CM21-CL21)</f>
        <v>0</v>
      </c>
      <c r="CO32" s="33">
        <f t="shared" si="221"/>
        <v>0.51647084401759769</v>
      </c>
      <c r="CP32" s="33">
        <f t="shared" si="221"/>
        <v>9.3322726722744331E-4</v>
      </c>
      <c r="CS32" s="33">
        <f t="shared" si="222"/>
        <v>0.1897381457891012</v>
      </c>
      <c r="CU32" s="33">
        <f>ABS(CU21-CT21)</f>
        <v>3.5</v>
      </c>
      <c r="CV32" s="33">
        <f t="shared" si="223"/>
        <v>0</v>
      </c>
      <c r="CZ32" s="33">
        <f t="shared" si="224"/>
        <v>3.1599999999999997</v>
      </c>
      <c r="DB32" s="33">
        <f t="shared" ref="DB32" si="353">ABS(DB21-DA21)</f>
        <v>0.30000000000000004</v>
      </c>
      <c r="DD32" s="33">
        <f t="shared" si="225"/>
        <v>0</v>
      </c>
      <c r="DF32" s="33">
        <f>ABS(DF21-DE21)</f>
        <v>3.5075148236390019</v>
      </c>
      <c r="DG32" s="33">
        <f t="shared" ref="DG32" si="354">ABS(DG21-DF21)</f>
        <v>0.78327929348118097</v>
      </c>
      <c r="DI32" s="33">
        <f t="shared" ref="DI32" si="355">ABS(DI21-DH21)</f>
        <v>2.0305458074778362</v>
      </c>
      <c r="DK32" s="33">
        <f t="shared" si="228"/>
        <v>0.3071104387291983</v>
      </c>
      <c r="DL32" s="33">
        <f t="shared" si="229"/>
        <v>7.4130105900151344E-2</v>
      </c>
      <c r="DM32" s="33">
        <f t="shared" si="159"/>
        <v>0.34130105900151286</v>
      </c>
      <c r="DO32" s="33">
        <f t="shared" ref="DO32:DP32" si="356">ABS(DO21-DN21)</f>
        <v>0.25</v>
      </c>
      <c r="DP32" s="33">
        <f t="shared" si="356"/>
        <v>0.39999999999999997</v>
      </c>
      <c r="DR32" s="33">
        <f t="shared" ref="DR32:DS32" si="357">ABS(DR21-DQ21)</f>
        <v>2.8129529156366847E-2</v>
      </c>
      <c r="DS32" s="33">
        <f t="shared" si="357"/>
        <v>0</v>
      </c>
      <c r="DU32" s="33">
        <f t="shared" ref="DU32:DV32" si="358">ABS(DU21-DT21)</f>
        <v>0</v>
      </c>
      <c r="DV32" s="33">
        <f t="shared" si="358"/>
        <v>0</v>
      </c>
      <c r="DX32" s="33">
        <f t="shared" ref="DX32" si="359">ABS(DX21-DW21)</f>
        <v>0.1</v>
      </c>
      <c r="DZ32" s="33">
        <f t="shared" ref="DZ32:EA32" si="360">ABS(DZ21-DY21)</f>
        <v>0.95905104422992071</v>
      </c>
      <c r="EA32" s="33">
        <f t="shared" si="360"/>
        <v>0.23976276105747996</v>
      </c>
      <c r="EC32" s="33">
        <f t="shared" si="235"/>
        <v>0.11580871306960444</v>
      </c>
      <c r="ED32" s="33">
        <f t="shared" ref="ED32" si="361">ABS(ED21-EC21)</f>
        <v>0.5028793189784676</v>
      </c>
      <c r="EF32" s="33">
        <f t="shared" ref="EF32" si="362">ABS(EF21-EE21)</f>
        <v>1.1900000000000002</v>
      </c>
      <c r="EH32" s="33">
        <f t="shared" si="162"/>
        <v>0.17000000000000004</v>
      </c>
      <c r="EM32" s="33">
        <f t="shared" ref="EM32:EN32" si="363">ABS(EM21-EL21)</f>
        <v>4.6560509554140594E-2</v>
      </c>
      <c r="EN32" s="33">
        <f t="shared" si="363"/>
        <v>3.0100000000000007</v>
      </c>
      <c r="EP32" s="33">
        <f t="shared" ref="EP32:ES32" si="364">ABS(EP21-EO21)</f>
        <v>0.39155456045796222</v>
      </c>
      <c r="EQ32" s="33">
        <f t="shared" si="364"/>
        <v>1.4633699633699631</v>
      </c>
      <c r="ES32" s="33">
        <f t="shared" si="364"/>
        <v>1.9000000000000001</v>
      </c>
      <c r="ET32" s="33">
        <f t="shared" ref="ET32:EU32" si="365">ABS(ET21-ES21)</f>
        <v>0</v>
      </c>
      <c r="EU32" s="33">
        <f t="shared" si="365"/>
        <v>3.2499999999999996</v>
      </c>
      <c r="EW32" s="33">
        <f t="shared" ref="EW32" si="366">ABS(EW21-EV21)</f>
        <v>1.2383303770429288</v>
      </c>
      <c r="EY32" s="33">
        <f t="shared" si="242"/>
        <v>0.84619195964990346</v>
      </c>
      <c r="FA32" s="33">
        <f t="shared" ref="FA32" si="367">ABS(FA21-EZ21)</f>
        <v>0</v>
      </c>
      <c r="FC32" s="33">
        <f t="shared" ref="FC32" si="368">ABS(FC21-FB21)</f>
        <v>7.0000000000000284E-2</v>
      </c>
      <c r="FE32" s="33">
        <f t="shared" ref="FE32" si="369">ABS(FE21-FD21)</f>
        <v>0.19019562590787525</v>
      </c>
      <c r="FG32" s="33">
        <f t="shared" ref="FG32:FI32" si="370">ABS(FG21-FF21)</f>
        <v>0.33618076605125391</v>
      </c>
      <c r="FH32" s="33">
        <f t="shared" si="370"/>
        <v>0.22912786602595847</v>
      </c>
      <c r="FI32" s="33">
        <f t="shared" si="370"/>
        <v>8.5709873959869953E-2</v>
      </c>
      <c r="FK32" s="33">
        <f t="shared" si="246"/>
        <v>1.379696032633726</v>
      </c>
      <c r="FM32" s="33">
        <f t="shared" ref="FM32" si="371">ABS(FM21-FL21)</f>
        <v>1.1434471681517453</v>
      </c>
      <c r="FO32" s="33">
        <f t="shared" si="169"/>
        <v>7.1000000000000005</v>
      </c>
      <c r="FR32" s="33">
        <f t="shared" ref="FR32" si="372">ABS(FR21-FQ21)</f>
        <v>1.6092026396952339</v>
      </c>
      <c r="FU32" s="33">
        <f t="shared" ref="FU32:FV32" si="373">ABS(FU21-FT21)</f>
        <v>0.67828267074899573</v>
      </c>
      <c r="FV32" s="33">
        <f t="shared" si="373"/>
        <v>0.54170431931420282</v>
      </c>
      <c r="GR32" s="33">
        <f t="shared" si="170"/>
        <v>1.9856314298898834</v>
      </c>
      <c r="GU32" s="33">
        <f t="shared" ref="GU32" si="374">ABS(GU21-GT21)</f>
        <v>4.3660642300569661</v>
      </c>
      <c r="HA32" s="33">
        <f t="shared" si="250"/>
        <v>6.3900000000000006</v>
      </c>
      <c r="HC32" s="33">
        <f t="shared" ref="HC32" si="375">ABS(HB21-HC21)</f>
        <v>11.23</v>
      </c>
      <c r="HE32" s="33">
        <f t="shared" ref="HE32" si="376">ABS(HD21-HE21)</f>
        <v>1.9100000000000001</v>
      </c>
      <c r="HG32" s="33">
        <f t="shared" ref="HG32" si="377">ABS(HF21-HG21)</f>
        <v>2.41</v>
      </c>
      <c r="HI32" s="33">
        <f t="shared" ref="HI32" si="378">ABS(HH21-HI21)</f>
        <v>1.33</v>
      </c>
      <c r="HK32" s="33">
        <f t="shared" ref="HK32" si="379">ABS(HJ21-HK21)</f>
        <v>0.84000000000000008</v>
      </c>
      <c r="HM32" s="33">
        <f t="shared" ref="HM32" si="380">ABS(HL21-HM21)</f>
        <v>4.7300000000000004</v>
      </c>
      <c r="HO32" s="33">
        <f t="shared" ref="HO32" si="381">ABS(HN21-HO21)</f>
        <v>1.7200000000000002</v>
      </c>
      <c r="HQ32" s="33">
        <f t="shared" ref="HQ32" si="382">ABS(HP21-HQ21)</f>
        <v>5.24</v>
      </c>
      <c r="HS32" s="33">
        <f t="shared" ref="HS32" si="383">ABS(HR21-HS21)</f>
        <v>0.90999999999999992</v>
      </c>
      <c r="HU32" s="33">
        <f t="shared" ref="HU32" si="384">ABS(HT21-HU21)</f>
        <v>9.8400000000000016</v>
      </c>
      <c r="HW32" s="33">
        <f t="shared" ref="HW32:HY32" si="385">ABS(HV21-HW21)</f>
        <v>3.7800000000000002</v>
      </c>
      <c r="HY32" s="33">
        <f t="shared" si="385"/>
        <v>1.3099999999999987</v>
      </c>
      <c r="IA32" s="33">
        <f t="shared" ref="IA32" si="386">ABS(HZ21-IA21)</f>
        <v>2.17</v>
      </c>
      <c r="IC32" s="33">
        <f t="shared" ref="IC32" si="387">ABS(IB21-IC21)</f>
        <v>2.8600000000000003</v>
      </c>
      <c r="IE32" s="33">
        <f t="shared" ref="IE32" si="388">ABS(ID21-IE21)</f>
        <v>6.3900000000000006</v>
      </c>
      <c r="IG32" s="33">
        <f t="shared" ref="IG32" si="389">ABS(IF21-IG21)</f>
        <v>4.0999999999999996</v>
      </c>
      <c r="II32" s="33">
        <f t="shared" ref="II32" si="390">ABS(IH21-II21)</f>
        <v>1.2699999999999996</v>
      </c>
      <c r="IN32" s="33">
        <f t="shared" ref="IN32:IP32" si="391">ABS(IM21-IN21)</f>
        <v>0.1</v>
      </c>
      <c r="IP32" s="33">
        <f t="shared" si="391"/>
        <v>0.03</v>
      </c>
      <c r="IR32" s="33">
        <f t="shared" ref="IR32" si="392">ABS(IQ21-IR21)</f>
        <v>0</v>
      </c>
      <c r="IT32" s="33">
        <f t="shared" si="181"/>
        <v>2.8960191929861476E-3</v>
      </c>
      <c r="IV32" s="33">
        <f t="shared" ref="IV32:IX32" si="393">ABS(IU21-IV21)</f>
        <v>0</v>
      </c>
      <c r="IX32" s="33">
        <f t="shared" si="393"/>
        <v>0</v>
      </c>
      <c r="IZ32" s="33">
        <f t="shared" ref="IZ32" si="394">ABS(IY21-IZ21)</f>
        <v>0.12893266010924931</v>
      </c>
      <c r="JC32" s="33">
        <f t="shared" ref="JC32" si="395">ABS(JB21-JC21)</f>
        <v>1.2267304566504121E-2</v>
      </c>
    </row>
    <row r="33" spans="1:263" s="33" customFormat="1" x14ac:dyDescent="0.3">
      <c r="A33" s="34" t="s">
        <v>189</v>
      </c>
      <c r="C33" s="33">
        <f t="shared" si="143"/>
        <v>3.33</v>
      </c>
      <c r="E33" s="33">
        <f t="shared" si="184"/>
        <v>1</v>
      </c>
      <c r="G33" s="33">
        <f t="shared" ref="G33:H33" si="396">ABS(G22-F22)</f>
        <v>9.9999999999999978E-2</v>
      </c>
      <c r="H33" s="33">
        <f t="shared" si="396"/>
        <v>0.3</v>
      </c>
      <c r="J33" s="33">
        <f t="shared" si="186"/>
        <v>8.3638859730570871</v>
      </c>
      <c r="K33" s="33">
        <f t="shared" si="273"/>
        <v>3.8956145825113495</v>
      </c>
      <c r="L33" s="33">
        <f t="shared" si="188"/>
        <v>0.41566986653287685</v>
      </c>
      <c r="N33" s="33">
        <f t="shared" si="189"/>
        <v>0.10000000000000009</v>
      </c>
      <c r="Q33" s="33">
        <f t="shared" si="190"/>
        <v>0</v>
      </c>
      <c r="T33" s="33">
        <f t="shared" ref="T33" si="397">ABS(T22-S22)</f>
        <v>0</v>
      </c>
      <c r="U33" s="33">
        <f>ABS(U22-T22)</f>
        <v>1.6800000000000006</v>
      </c>
      <c r="W33" s="33">
        <f t="shared" si="192"/>
        <v>0.53999999999999915</v>
      </c>
      <c r="X33" s="33">
        <f t="shared" si="193"/>
        <v>6.1115405238193441</v>
      </c>
      <c r="Z33" s="33">
        <f t="shared" si="194"/>
        <v>6.4984786170461746</v>
      </c>
      <c r="AA33" s="33">
        <f t="shared" si="195"/>
        <v>0</v>
      </c>
      <c r="AB33" s="33">
        <f t="shared" si="196"/>
        <v>2.4477100099715656</v>
      </c>
      <c r="AD33" s="33">
        <f t="shared" si="197"/>
        <v>3.4952244541162409</v>
      </c>
      <c r="AE33" s="33">
        <f>ABS(AE22-AC22)</f>
        <v>0.93371973159637378</v>
      </c>
      <c r="AF33" s="33">
        <f t="shared" ref="AF33" si="398">ABS(AF22-AE22)</f>
        <v>3.7944551893075724</v>
      </c>
      <c r="AH33" s="33">
        <f t="shared" ref="AH33:AI33" si="399">ABS(AH22-AG22)</f>
        <v>4.3425672286337669</v>
      </c>
      <c r="AI33" s="33">
        <f t="shared" si="399"/>
        <v>6.7454082557105721E-4</v>
      </c>
      <c r="AK33" s="33">
        <f t="shared" ref="AK33:AL33" si="400">ABS(AK22-AJ22)</f>
        <v>0.6100000000000001</v>
      </c>
      <c r="AL33" s="33">
        <f t="shared" si="400"/>
        <v>2.9699999999999998</v>
      </c>
      <c r="AN33" s="33">
        <f t="shared" ref="AN33:AO33" si="401">ABS(AN22-AM22)</f>
        <v>8.7636533639338658</v>
      </c>
      <c r="AO33" s="33">
        <f t="shared" si="401"/>
        <v>1.9040333205831139</v>
      </c>
      <c r="AQ33" s="33">
        <f t="shared" ref="AQ33:AR33" si="402">ABS(AQ22-AP22)</f>
        <v>1.6117197991719472</v>
      </c>
      <c r="AR33" s="33">
        <f t="shared" si="402"/>
        <v>0.25242815827747123</v>
      </c>
      <c r="AT33" s="33">
        <f t="shared" ref="AT33:AU33" si="403">ABS(AT22-AS22)</f>
        <v>0</v>
      </c>
      <c r="AU33" s="33">
        <f t="shared" si="403"/>
        <v>3.9380966864748794</v>
      </c>
      <c r="AW33" s="33">
        <f t="shared" ref="AW33:AX33" si="404">ABS(AW22-AV22)</f>
        <v>1.385011298395296</v>
      </c>
      <c r="AX33" s="33">
        <f t="shared" si="404"/>
        <v>0.12755571511752417</v>
      </c>
      <c r="AZ33" s="33">
        <f t="shared" ref="AZ33" si="405">ABS(AZ22-AY22)</f>
        <v>2.766835959369752</v>
      </c>
      <c r="BB33" s="33">
        <f t="shared" ref="BB33" si="406">ABS(BB22-BA22)</f>
        <v>0.71220979441687504</v>
      </c>
      <c r="BH33" s="33">
        <f t="shared" ref="BH33:BI33" si="407">ABS(BH22-BG22)</f>
        <v>3.5999999999999996</v>
      </c>
      <c r="BI33" s="33">
        <f t="shared" si="407"/>
        <v>0.10000000000000053</v>
      </c>
      <c r="BK33" s="33">
        <f t="shared" ref="BK33:BM33" si="408">ABS(BK22-BJ22)</f>
        <v>4.6452537133378566</v>
      </c>
      <c r="BL33" s="33">
        <f t="shared" si="408"/>
        <v>9.0062580110080681</v>
      </c>
      <c r="BM33" s="33">
        <f t="shared" si="408"/>
        <v>3.3891276483450188</v>
      </c>
      <c r="BP33" s="33">
        <f>ABS(BP22-BO22)</f>
        <v>5.0463614738579547</v>
      </c>
      <c r="BR33" s="33">
        <f t="shared" ref="BR33" si="409">ABS(BR22-BQ22)</f>
        <v>0.577702872018653</v>
      </c>
      <c r="BU33" s="33">
        <f>ABS(BU22-BT22)</f>
        <v>9.0584420856308707</v>
      </c>
      <c r="BV33" s="33">
        <f t="shared" si="213"/>
        <v>1.1606539730963554</v>
      </c>
      <c r="BW33" s="33">
        <f t="shared" si="213"/>
        <v>0.143215857030631</v>
      </c>
      <c r="BY33" s="33">
        <f t="shared" ref="BY33" si="410">ABS(BY22-BX22)</f>
        <v>0.45845809589729569</v>
      </c>
      <c r="CA33" s="33">
        <f t="shared" si="215"/>
        <v>12.19927664652192</v>
      </c>
      <c r="CB33" s="33">
        <f t="shared" si="216"/>
        <v>0.28774655511343727</v>
      </c>
      <c r="CD33" s="33">
        <f t="shared" ref="CD33:CE33" si="411">ABS(CD22-CC22)</f>
        <v>0.73051119798506425</v>
      </c>
      <c r="CE33" s="33">
        <f t="shared" si="411"/>
        <v>6.5968994572551232E-2</v>
      </c>
      <c r="CG33" s="33">
        <f t="shared" ref="CG33:CH33" si="412">ABS(CG22-CF22)</f>
        <v>0.79039032716813751</v>
      </c>
      <c r="CH33" s="33">
        <f t="shared" si="412"/>
        <v>4.1701098735032804E-2</v>
      </c>
      <c r="CK33" s="33">
        <f t="shared" si="219"/>
        <v>0</v>
      </c>
      <c r="CM33" s="33">
        <f t="shared" ref="CM33" si="413">ABS(CM22-CL22)</f>
        <v>0</v>
      </c>
      <c r="CO33" s="33">
        <f t="shared" si="221"/>
        <v>11.812760171269492</v>
      </c>
      <c r="CP33" s="33">
        <f t="shared" si="221"/>
        <v>9.3322726722728788E-3</v>
      </c>
      <c r="CS33" s="33">
        <f t="shared" si="222"/>
        <v>0.21027472173969075</v>
      </c>
      <c r="CU33" s="33">
        <f t="shared" si="157"/>
        <v>1.2999999999999989</v>
      </c>
      <c r="CV33" s="33">
        <f t="shared" si="223"/>
        <v>0</v>
      </c>
      <c r="CZ33" s="33">
        <f t="shared" si="224"/>
        <v>2.3499999999999996</v>
      </c>
      <c r="DB33" s="33">
        <f>ABS(DB22-DA22)</f>
        <v>0.94999999999999929</v>
      </c>
      <c r="DD33" s="33">
        <f t="shared" si="225"/>
        <v>12.060169331705531</v>
      </c>
      <c r="DF33" s="33">
        <f t="shared" ref="DF33:DG33" si="414">ABS(DF22-DE22)</f>
        <v>0.63369937122691411</v>
      </c>
      <c r="DG33" s="33">
        <f t="shared" si="414"/>
        <v>8.9721082707844424</v>
      </c>
      <c r="DI33" s="33">
        <f t="shared" ref="DI33" si="415">ABS(DI22-DH22)</f>
        <v>1.3574416650565486</v>
      </c>
      <c r="DK33" s="33">
        <f t="shared" si="228"/>
        <v>3.9948562783661115</v>
      </c>
      <c r="DL33" s="33">
        <f t="shared" si="229"/>
        <v>0.79636913767019646</v>
      </c>
      <c r="DM33" s="33">
        <f t="shared" si="159"/>
        <v>0.60453857791225474</v>
      </c>
      <c r="DO33" s="33">
        <f t="shared" ref="DO33:DP33" si="416">ABS(DO22-DN22)</f>
        <v>3.9999999999999925E-2</v>
      </c>
      <c r="DP33" s="33">
        <f t="shared" si="416"/>
        <v>6.3000000000000007</v>
      </c>
      <c r="DR33" s="33">
        <f t="shared" ref="DR33:DS33" si="417">ABS(DR22-DQ22)</f>
        <v>0.2180386832303689</v>
      </c>
      <c r="DS33" s="33">
        <f t="shared" si="417"/>
        <v>0.8</v>
      </c>
      <c r="DU33" s="33">
        <f t="shared" ref="DU33:DV33" si="418">ABS(DU22-DT22)</f>
        <v>6.7</v>
      </c>
      <c r="DV33" s="33">
        <f t="shared" si="418"/>
        <v>0.48422580322290099</v>
      </c>
      <c r="DX33" s="33">
        <f t="shared" ref="DX33" si="419">ABS(DX22-DW22)</f>
        <v>0.39999999999999991</v>
      </c>
      <c r="DZ33" s="33">
        <f t="shared" ref="DZ33:EA33" si="420">ABS(DZ22-DY22)</f>
        <v>0.1030559236124251</v>
      </c>
      <c r="EA33" s="33">
        <f t="shared" si="420"/>
        <v>0</v>
      </c>
      <c r="EC33" s="33">
        <f t="shared" si="235"/>
        <v>0.79052078117175761</v>
      </c>
      <c r="ED33" s="33">
        <f t="shared" ref="ED33" si="421">ABS(ED22-EC22)</f>
        <v>0.72208312468703051</v>
      </c>
      <c r="EF33" s="33">
        <f t="shared" ref="EF33" si="422">ABS(EF22-EE22)</f>
        <v>0.52</v>
      </c>
      <c r="EH33" s="33">
        <f t="shared" si="162"/>
        <v>0.14000000000000001</v>
      </c>
      <c r="EM33" s="33">
        <f t="shared" ref="EM33:EN33" si="423">ABS(EM22-EL22)</f>
        <v>1.8849044585987249</v>
      </c>
      <c r="EN33" s="33">
        <f t="shared" si="423"/>
        <v>1.080000000000001</v>
      </c>
      <c r="EP33" s="33">
        <f t="shared" ref="EP33:ES33" si="424">ABS(EP22-EO22)</f>
        <v>0.27562669854904698</v>
      </c>
      <c r="EQ33" s="33">
        <f t="shared" si="424"/>
        <v>3.6758241758241761</v>
      </c>
      <c r="ES33" s="33">
        <f t="shared" si="424"/>
        <v>0.42999999999999972</v>
      </c>
      <c r="ET33" s="33">
        <f t="shared" ref="ET33:EU33" si="425">ABS(ET22-ES22)</f>
        <v>3.1199999999999992</v>
      </c>
      <c r="EU33" s="33">
        <f t="shared" si="425"/>
        <v>2.0299999999999994</v>
      </c>
      <c r="EW33" s="33">
        <f t="shared" ref="EW33" si="426">ABS(EW22-EV22)</f>
        <v>0.28303118450930675</v>
      </c>
      <c r="EY33" s="33">
        <f t="shared" si="242"/>
        <v>4.2600934579439258</v>
      </c>
      <c r="FA33" s="33">
        <f t="shared" ref="FA33" si="427">ABS(FA22-EZ22)</f>
        <v>0</v>
      </c>
      <c r="FC33" s="33">
        <f t="shared" ref="FC33" si="428">ABS(FC22-FB22)</f>
        <v>0.41000000000000014</v>
      </c>
      <c r="FE33" s="33">
        <f t="shared" ref="FE33" si="429">ABS(FE22-FD22)</f>
        <v>1.6317997312010426</v>
      </c>
      <c r="FG33" s="33">
        <f t="shared" ref="FG33:FI33" si="430">ABS(FG22-FF22)</f>
        <v>1.2652705061082035</v>
      </c>
      <c r="FH33" s="33">
        <f t="shared" si="430"/>
        <v>3.0058764913405236</v>
      </c>
      <c r="FI33" s="33">
        <f t="shared" si="430"/>
        <v>0.35051881664093187</v>
      </c>
      <c r="FK33" s="33">
        <f t="shared" si="246"/>
        <v>5.2291269162444909</v>
      </c>
      <c r="FM33" s="33">
        <f t="shared" ref="FM33" si="431">ABS(FM22-FL22)</f>
        <v>3.8242380205744109E-2</v>
      </c>
      <c r="FO33" s="33">
        <f t="shared" si="169"/>
        <v>7.1999999999999993</v>
      </c>
      <c r="FR33" s="33">
        <f t="shared" ref="FR33" si="432">ABS(FR22-FQ22)</f>
        <v>8.6943581428545524</v>
      </c>
      <c r="FU33" s="33">
        <f t="shared" ref="FU33:FV33" si="433">ABS(FU22-FT22)</f>
        <v>3.9034876569679966E-2</v>
      </c>
      <c r="FV33" s="33">
        <f t="shared" si="433"/>
        <v>0.13678404416593981</v>
      </c>
      <c r="GR33" s="33">
        <f t="shared" si="170"/>
        <v>3.9705842434332546</v>
      </c>
      <c r="GU33" s="33">
        <f t="shared" ref="GU33" si="434">ABS(GU22-GT22)</f>
        <v>5.5516277412028572</v>
      </c>
      <c r="HA33" s="33">
        <f t="shared" si="250"/>
        <v>7.23</v>
      </c>
      <c r="HC33" s="33">
        <f t="shared" ref="HC33" si="435">ABS(HB22-HC22)</f>
        <v>4.1500000000000004</v>
      </c>
      <c r="HE33" s="33">
        <f t="shared" ref="HE33" si="436">ABS(HD22-HE22)</f>
        <v>1.6600000000000001</v>
      </c>
      <c r="HG33" s="33">
        <f t="shared" ref="HG33" si="437">ABS(HF22-HG22)</f>
        <v>2.580000000000001</v>
      </c>
      <c r="HI33" s="33">
        <f t="shared" ref="HI33" si="438">ABS(HH22-HI22)</f>
        <v>2.1900000000000013</v>
      </c>
      <c r="HK33" s="33">
        <f t="shared" ref="HK33" si="439">ABS(HJ22-HK22)</f>
        <v>10.209999999999999</v>
      </c>
      <c r="HM33" s="33">
        <f t="shared" ref="HM33" si="440">ABS(HL22-HM22)</f>
        <v>0.87000000000000099</v>
      </c>
      <c r="HO33" s="33">
        <f t="shared" ref="HO33" si="441">ABS(HN22-HO22)</f>
        <v>7.08</v>
      </c>
      <c r="HQ33" s="33">
        <f t="shared" ref="HQ33" si="442">ABS(HP22-HQ22)</f>
        <v>3.8100000000000005</v>
      </c>
      <c r="HS33" s="33">
        <f t="shared" ref="HS33" si="443">ABS(HR22-HS22)</f>
        <v>0.79999999999999993</v>
      </c>
      <c r="HU33" s="33">
        <f t="shared" ref="HU33" si="444">ABS(HT22-HU22)</f>
        <v>1.4100000000000001</v>
      </c>
      <c r="HW33" s="33">
        <f t="shared" ref="HW33:HY33" si="445">ABS(HV22-HW22)</f>
        <v>3.09</v>
      </c>
      <c r="HY33" s="33">
        <f t="shared" si="445"/>
        <v>1.7400000000000002</v>
      </c>
      <c r="IA33" s="33">
        <f t="shared" ref="IA33" si="446">ABS(HZ22-IA22)</f>
        <v>0.32000000000000028</v>
      </c>
      <c r="IC33" s="33">
        <f t="shared" ref="IC33" si="447">ABS(IB22-IC22)</f>
        <v>1.6099999999999994</v>
      </c>
      <c r="IE33" s="33">
        <f t="shared" ref="IE33" si="448">ABS(ID22-IE22)</f>
        <v>7.7</v>
      </c>
      <c r="IG33" s="33">
        <f t="shared" ref="IG33" si="449">ABS(IF22-IG22)</f>
        <v>1.8000000000000007</v>
      </c>
      <c r="II33" s="33">
        <f t="shared" ref="II33" si="450">ABS(IH22-II22)</f>
        <v>1.07</v>
      </c>
      <c r="IN33" s="33">
        <f t="shared" ref="IN33:IP33" si="451">ABS(IM22-IN22)</f>
        <v>0.89999999999999991</v>
      </c>
      <c r="IP33" s="33">
        <f t="shared" si="451"/>
        <v>0.02</v>
      </c>
      <c r="IR33" s="33">
        <f t="shared" ref="IR33" si="452">ABS(IQ22-IR22)</f>
        <v>3.28</v>
      </c>
      <c r="IT33" s="33">
        <f t="shared" si="181"/>
        <v>9.3739568615078817E-3</v>
      </c>
      <c r="IV33" s="33">
        <f t="shared" ref="IV33:IX33" si="453">ABS(IU22-IV22)</f>
        <v>9.9999999999999985E-3</v>
      </c>
      <c r="IX33" s="33">
        <f t="shared" si="453"/>
        <v>2.920164072474396E-2</v>
      </c>
      <c r="IZ33" s="33">
        <f t="shared" ref="IZ33" si="454">ABS(IY22-IZ22)</f>
        <v>1.6045634987176314</v>
      </c>
      <c r="JC33" s="33">
        <f t="shared" ref="JC33" si="455">ABS(JB22-JC22)</f>
        <v>4.5530572717986467E-2</v>
      </c>
    </row>
    <row r="34" spans="1:263" s="33" customFormat="1" x14ac:dyDescent="0.3">
      <c r="A34" s="34" t="s">
        <v>121</v>
      </c>
      <c r="C34" s="33">
        <f t="shared" si="143"/>
        <v>1.1100000000000101</v>
      </c>
      <c r="E34" s="33">
        <f t="shared" si="184"/>
        <v>2.399999999999995</v>
      </c>
      <c r="G34" s="33">
        <f t="shared" ref="G34:H34" si="456">ABS(G23-F23)</f>
        <v>2.9999999999999858</v>
      </c>
      <c r="H34" s="33">
        <f t="shared" si="456"/>
        <v>13.599999999999998</v>
      </c>
      <c r="J34" s="33">
        <f t="shared" si="186"/>
        <v>4.2200000000000202</v>
      </c>
      <c r="K34" s="33">
        <f t="shared" si="273"/>
        <v>26.959999999999994</v>
      </c>
      <c r="L34" s="33">
        <f t="shared" si="188"/>
        <v>4.1503734893097537</v>
      </c>
      <c r="N34" s="33">
        <f t="shared" si="189"/>
        <v>1.0999999999999872</v>
      </c>
      <c r="Q34" s="33">
        <f t="shared" si="190"/>
        <v>36</v>
      </c>
      <c r="T34" s="33">
        <f>ABS(T23-S23)</f>
        <v>2.0599999999999739</v>
      </c>
      <c r="U34" s="33">
        <f t="shared" ref="U34" si="457">ABS(U23-T23)</f>
        <v>7.1800000000000281</v>
      </c>
      <c r="W34" s="33">
        <f>ABS(W23-V23)</f>
        <v>3.2699999999999889</v>
      </c>
      <c r="X34" s="33">
        <f>ABS(X23-W23)</f>
        <v>15.075365853658511</v>
      </c>
      <c r="Z34" s="33">
        <f t="shared" si="194"/>
        <v>21.943023372454618</v>
      </c>
      <c r="AA34" s="33">
        <f t="shared" si="195"/>
        <v>8.0917510950613547</v>
      </c>
      <c r="AB34" s="33">
        <f t="shared" si="196"/>
        <v>17.163007940355442</v>
      </c>
      <c r="AD34" s="33">
        <f t="shared" si="197"/>
        <v>3.6961179805472426</v>
      </c>
      <c r="AE34" s="33">
        <f>ABS(AE23-AC23)</f>
        <v>1.2499944885207555</v>
      </c>
      <c r="AF34" s="33">
        <f t="shared" ref="AF34" si="458">ABS(AF23-AE23)</f>
        <v>2.3941246550206756</v>
      </c>
      <c r="AH34" s="33">
        <f t="shared" ref="AH34:AI34" si="459">ABS(AH23-AG23)</f>
        <v>2.8199999999999932</v>
      </c>
      <c r="AI34" s="33">
        <f t="shared" si="459"/>
        <v>3.1299999999999955</v>
      </c>
      <c r="AK34" s="33">
        <f t="shared" ref="AK34:AL34" si="460">ABS(AK23-AJ23)</f>
        <v>5.3299999999999841</v>
      </c>
      <c r="AL34" s="33">
        <f t="shared" si="460"/>
        <v>7.2799999999999727</v>
      </c>
      <c r="AN34" s="33">
        <f t="shared" ref="AN34:AO34" si="461">ABS(AN23-AM23)</f>
        <v>33.698839729695258</v>
      </c>
      <c r="AO34" s="33">
        <f t="shared" si="461"/>
        <v>8.4831484550979681</v>
      </c>
      <c r="AQ34" s="33">
        <f t="shared" ref="AQ34:AR34" si="462">ABS(AQ23-AP23)</f>
        <v>0</v>
      </c>
      <c r="AR34" s="33">
        <f t="shared" si="462"/>
        <v>0</v>
      </c>
      <c r="AT34" s="33">
        <f t="shared" ref="AT34:AU34" si="463">ABS(AT23-AS23)</f>
        <v>1.3699999999999974</v>
      </c>
      <c r="AU34" s="33">
        <f t="shared" si="463"/>
        <v>0.60082490841160308</v>
      </c>
      <c r="AW34" s="33">
        <f t="shared" ref="AW34:AX34" si="464">ABS(AW23-AV23)</f>
        <v>2.7935228668056453</v>
      </c>
      <c r="AX34" s="33">
        <f t="shared" si="464"/>
        <v>2.4967288354959862</v>
      </c>
      <c r="AZ34" s="33">
        <f t="shared" ref="AZ34" si="465">ABS(AZ23-AY23)</f>
        <v>3.4366751979524963</v>
      </c>
      <c r="BB34" s="33">
        <f t="shared" ref="BB34" si="466">ABS(BB23-BA23)</f>
        <v>0.46521321685687944</v>
      </c>
      <c r="BH34" s="33">
        <f t="shared" ref="BH34:BI34" si="467">ABS(BH23-BG23)</f>
        <v>7.1999999999999957</v>
      </c>
      <c r="BI34" s="33">
        <f t="shared" si="467"/>
        <v>0.20000000000000284</v>
      </c>
      <c r="BK34" s="33">
        <f t="shared" ref="BK34:BM34" si="468">ABS(BK23-BJ23)</f>
        <v>15.963394405488955</v>
      </c>
      <c r="BL34" s="33">
        <f t="shared" si="468"/>
        <v>19.24526879288247</v>
      </c>
      <c r="BM34" s="33">
        <f t="shared" si="468"/>
        <v>4.2807057226871734</v>
      </c>
      <c r="BP34" s="33">
        <f t="shared" ref="BP34" si="469">ABS(BP23-BO23)</f>
        <v>6.187193553085109</v>
      </c>
      <c r="BR34" s="33">
        <f t="shared" ref="BR34" si="470">ABS(BR23-BQ23)</f>
        <v>0.71311604700845344</v>
      </c>
      <c r="BU34" s="33">
        <f>ABS(BU23-BT23)</f>
        <v>5.07646473647047</v>
      </c>
      <c r="BV34" s="33">
        <f t="shared" si="213"/>
        <v>1.06122026454576</v>
      </c>
      <c r="BW34" s="33">
        <f t="shared" si="213"/>
        <v>4.6497261316468084</v>
      </c>
      <c r="BY34" s="33">
        <f t="shared" ref="BY34" si="471">ABS(BY23-BX23)</f>
        <v>0.45845809589729569</v>
      </c>
      <c r="CA34" s="33">
        <f t="shared" si="215"/>
        <v>2.3109127598631174</v>
      </c>
      <c r="CB34" s="33">
        <f t="shared" si="216"/>
        <v>9.6808197453015588</v>
      </c>
      <c r="CD34" s="33">
        <f t="shared" ref="CD34" si="472">ABS(CD23-CC23)</f>
        <v>9.5426052450552437</v>
      </c>
      <c r="CE34" s="33">
        <f>ABS(CE23-CD23)</f>
        <v>0.42520015592672422</v>
      </c>
      <c r="CG34" s="33">
        <f t="shared" ref="CG34:CH34" si="473">ABS(CG23-CF23)</f>
        <v>8.9764217548310636</v>
      </c>
      <c r="CH34" s="33">
        <f t="shared" si="473"/>
        <v>31.452199130655718</v>
      </c>
      <c r="CK34" s="33">
        <f>ABS(CK23-CJ23)</f>
        <v>4.9999999999997158E-2</v>
      </c>
      <c r="CM34" s="33">
        <f t="shared" ref="CM34" si="474">ABS(CM23-CL23)</f>
        <v>0</v>
      </c>
      <c r="CO34" s="33">
        <f t="shared" si="221"/>
        <v>46.73331911406828</v>
      </c>
      <c r="CP34" s="33">
        <f t="shared" si="221"/>
        <v>1.2846356037135465E-2</v>
      </c>
      <c r="CS34" s="33">
        <f t="shared" si="222"/>
        <v>4</v>
      </c>
      <c r="CU34" s="33">
        <f t="shared" si="157"/>
        <v>13.699999999999996</v>
      </c>
      <c r="CV34" s="33">
        <f t="shared" si="223"/>
        <v>2</v>
      </c>
      <c r="CZ34" s="33">
        <f t="shared" si="224"/>
        <v>23.689999999999991</v>
      </c>
      <c r="DB34" s="33">
        <f t="shared" ref="DB34" si="475">ABS(DB23-DA23)</f>
        <v>0.11000000000000298</v>
      </c>
      <c r="DD34" s="33">
        <f t="shared" si="225"/>
        <v>0.22647040334560842</v>
      </c>
      <c r="DF34" s="33">
        <f>ABS(DF23-DE23)</f>
        <v>1.1070705623130443</v>
      </c>
      <c r="DG34" s="33">
        <f t="shared" ref="DG34" si="476">ABS(DG23-DF23)</f>
        <v>10.638536087275874</v>
      </c>
      <c r="DI34" s="33">
        <f t="shared" ref="DI34" si="477">ABS(DI23-DH23)</f>
        <v>20.357580958971198</v>
      </c>
      <c r="DK34" s="33">
        <f t="shared" si="228"/>
        <v>3.6295310136157468</v>
      </c>
      <c r="DL34" s="33">
        <f t="shared" si="229"/>
        <v>2.147776096822966</v>
      </c>
      <c r="DM34" s="33">
        <f t="shared" si="159"/>
        <v>2.5361573373676123</v>
      </c>
      <c r="DO34" s="33">
        <f t="shared" ref="DO34:DP34" si="478">ABS(DO23-DN23)</f>
        <v>5.5100000000000051</v>
      </c>
      <c r="DP34" s="33">
        <f t="shared" si="478"/>
        <v>14.661362103843572</v>
      </c>
      <c r="DR34" s="33">
        <f t="shared" ref="DR34:DS34" si="479">ABS(DR23-DQ23)</f>
        <v>0.87352927064304708</v>
      </c>
      <c r="DS34" s="33">
        <f t="shared" si="479"/>
        <v>0.80000000000001137</v>
      </c>
      <c r="DU34" s="33">
        <f>ABS(DU23-DT23)</f>
        <v>13.639999999999986</v>
      </c>
      <c r="DV34" s="33">
        <f t="shared" ref="DV34" si="480">ABS(DV23-DU23)</f>
        <v>1.7087758983084882</v>
      </c>
      <c r="DX34" s="33">
        <f t="shared" ref="DX34" si="481">ABS(DX23-DW23)</f>
        <v>0.10000000000000142</v>
      </c>
      <c r="DZ34" s="33">
        <f t="shared" ref="DZ34:EA34" si="482">ABS(DZ23-DY23)</f>
        <v>1.2450838118072696</v>
      </c>
      <c r="EA34" s="33">
        <f t="shared" si="482"/>
        <v>0</v>
      </c>
      <c r="EC34" s="33">
        <f t="shared" si="235"/>
        <v>2.1449123685528235</v>
      </c>
      <c r="ED34" s="33">
        <f t="shared" ref="ED34" si="483">ABS(ED23-EC23)</f>
        <v>0.56685027541312394</v>
      </c>
      <c r="EF34" s="33">
        <f t="shared" ref="EF34" si="484">ABS(EF23-EE23)</f>
        <v>3.0599999999999881</v>
      </c>
      <c r="EH34" s="33">
        <f t="shared" si="162"/>
        <v>4.0000000000007141E-2</v>
      </c>
      <c r="EM34" s="33">
        <f t="shared" ref="EM34:EN34" si="485">ABS(EM23-EL23)</f>
        <v>21.31509554140127</v>
      </c>
      <c r="EN34" s="33">
        <f t="shared" si="485"/>
        <v>4.1100000000000065</v>
      </c>
      <c r="EP34" s="33">
        <f t="shared" ref="EP34:ES34" si="486">ABS(EP23-EO23)</f>
        <v>9.7696172063905635</v>
      </c>
      <c r="EQ34" s="33">
        <f t="shared" si="486"/>
        <v>9.957875457875458</v>
      </c>
      <c r="ES34" s="33">
        <f t="shared" si="486"/>
        <v>1.6899999999999977</v>
      </c>
      <c r="ET34" s="33">
        <f t="shared" ref="ET34:EU34" si="487">ABS(ET23-ES23)</f>
        <v>3.1199999999999992</v>
      </c>
      <c r="EU34" s="33">
        <f t="shared" si="487"/>
        <v>6.1499999999999826</v>
      </c>
      <c r="EW34" s="33">
        <f t="shared" ref="EW34" si="488">ABS(EW23-EV23)</f>
        <v>1.6043724395167693</v>
      </c>
      <c r="EY34" s="33">
        <f t="shared" si="242"/>
        <v>8.1164589823468312</v>
      </c>
      <c r="FA34" s="33">
        <f t="shared" ref="FA34" si="489">ABS(FA23-EZ23)</f>
        <v>0</v>
      </c>
      <c r="FC34" s="33">
        <f t="shared" ref="FC34" si="490">ABS(FC23-FB23)</f>
        <v>3.8000000000000007</v>
      </c>
      <c r="FE34" s="33">
        <f t="shared" ref="FE34" si="491">ABS(FE23-FD23)</f>
        <v>2.1409565441685539</v>
      </c>
      <c r="FG34" s="33">
        <f t="shared" ref="FG34:FI34" si="492">ABS(FG23-FF23)</f>
        <v>5.9517467315758736</v>
      </c>
      <c r="FH34" s="33">
        <f t="shared" si="492"/>
        <v>4.9427655069250225</v>
      </c>
      <c r="FI34" s="33">
        <f t="shared" si="492"/>
        <v>3.4862540954135675</v>
      </c>
      <c r="FK34" s="33">
        <f t="shared" si="246"/>
        <v>5.0216022983968323</v>
      </c>
      <c r="FM34" s="33">
        <f t="shared" ref="FM34" si="493">ABS(FM23-FL23)</f>
        <v>9.2776014379135017</v>
      </c>
      <c r="FO34" s="33">
        <f t="shared" si="169"/>
        <v>6.2999999999999936</v>
      </c>
      <c r="FR34" s="33">
        <f t="shared" ref="FR34" si="494">ABS(FR23-FQ23)</f>
        <v>113.73303376318975</v>
      </c>
      <c r="FU34" s="33">
        <f t="shared" ref="FU34:FV34" si="495">ABS(FU23-FT23)</f>
        <v>6.2782937417048661</v>
      </c>
      <c r="FV34" s="33">
        <f t="shared" si="495"/>
        <v>6.1809598585741803</v>
      </c>
      <c r="GR34" s="33">
        <f t="shared" si="170"/>
        <v>3.7641717713696359</v>
      </c>
      <c r="GU34" s="33">
        <f t="shared" ref="GU34" si="496">ABS(GU23-GT23)</f>
        <v>9.1028791708934662</v>
      </c>
      <c r="HA34" s="33">
        <f t="shared" si="250"/>
        <v>1.5499999999999972</v>
      </c>
      <c r="HC34" s="33">
        <f t="shared" ref="HC34" si="497">ABS(HB23-HC23)</f>
        <v>19.859999999999985</v>
      </c>
      <c r="HE34" s="33">
        <f t="shared" ref="HE34" si="498">ABS(HD23-HE23)</f>
        <v>7.6200000000000045</v>
      </c>
      <c r="HG34" s="33">
        <f t="shared" ref="HG34" si="499">ABS(HF23-HG23)</f>
        <v>3.4599999999999937</v>
      </c>
      <c r="HI34" s="33">
        <f t="shared" ref="HI34" si="500">ABS(HH23-HI23)</f>
        <v>1.210000000000008</v>
      </c>
      <c r="HK34" s="33">
        <f t="shared" ref="HK34" si="501">ABS(HJ23-HK23)</f>
        <v>19.969999999999985</v>
      </c>
      <c r="HM34" s="33">
        <f t="shared" ref="HM34" si="502">ABS(HL23-HM23)</f>
        <v>12.61</v>
      </c>
      <c r="HO34" s="33">
        <f t="shared" ref="HO34" si="503">ABS(HN23-HO23)</f>
        <v>12.559000000000012</v>
      </c>
      <c r="HQ34" s="33">
        <f t="shared" ref="HQ34" si="504">ABS(HP23-HQ23)</f>
        <v>25.500000000000014</v>
      </c>
      <c r="HS34" s="33">
        <f t="shared" ref="HS34" si="505">ABS(HR23-HS23)</f>
        <v>7.460000000000008</v>
      </c>
      <c r="HU34" s="33">
        <f t="shared" ref="HU34" si="506">ABS(HT23-HU23)</f>
        <v>7.2989999999999924</v>
      </c>
      <c r="HW34" s="33">
        <f t="shared" ref="HW34:HY34" si="507">ABS(HV23-HW23)</f>
        <v>8.9499999999999886</v>
      </c>
      <c r="HY34" s="33">
        <f t="shared" si="507"/>
        <v>3.9399999999999977</v>
      </c>
      <c r="IA34" s="33">
        <f>ABS(HZ23-IA23)</f>
        <v>12.709999999999994</v>
      </c>
      <c r="IC34" s="33">
        <f t="shared" ref="IC34" si="508">ABS(IB23-IC23)</f>
        <v>16.019999999999996</v>
      </c>
      <c r="IE34" s="33">
        <f t="shared" ref="IE34" si="509">ABS(ID23-IE23)</f>
        <v>12.730000000000004</v>
      </c>
      <c r="IG34" s="33">
        <f t="shared" ref="IG34" si="510">ABS(IF23-IG23)</f>
        <v>3.2700000000000102</v>
      </c>
      <c r="II34" s="33">
        <f t="shared" ref="II34" si="511">ABS(IH23-II23)</f>
        <v>0.96000000000002217</v>
      </c>
      <c r="IN34" s="33">
        <f t="shared" ref="IN34:IP34" si="512">ABS(IM23-IN23)</f>
        <v>30.900000000000006</v>
      </c>
      <c r="IP34" s="33">
        <f t="shared" si="512"/>
        <v>9.89</v>
      </c>
      <c r="IR34" s="33">
        <f t="shared" ref="IR34" si="513">ABS(IQ23-IR23)</f>
        <v>10.280000000000001</v>
      </c>
      <c r="IT34" s="33">
        <f t="shared" si="181"/>
        <v>0.28762043248235614</v>
      </c>
      <c r="IV34" s="33">
        <f t="shared" ref="IV34:IX34" si="514">ABS(IU23-IV23)</f>
        <v>0.17000000000000171</v>
      </c>
      <c r="IX34" s="33">
        <f t="shared" si="514"/>
        <v>4.5827058542709551</v>
      </c>
      <c r="IZ34" s="33">
        <f t="shared" ref="IZ34" si="515">ABS(IY23-IZ23)</f>
        <v>1.9700982657242037</v>
      </c>
      <c r="JC34" s="33">
        <f t="shared" ref="JC34" si="516">ABS(JB23-JC23)</f>
        <v>0.61666796417004832</v>
      </c>
    </row>
    <row r="35" spans="1:263" s="33" customFormat="1" x14ac:dyDescent="0.3">
      <c r="A35" s="35" t="s">
        <v>190</v>
      </c>
      <c r="C35" s="33">
        <f t="shared" si="143"/>
        <v>2.1100000000000003</v>
      </c>
      <c r="E35" s="33">
        <f t="shared" si="184"/>
        <v>3.4000000000000004</v>
      </c>
      <c r="G35" s="33">
        <f t="shared" ref="G35:H35" si="517">ABS(G24-F24)</f>
        <v>12.599999999999994</v>
      </c>
      <c r="H35" s="33">
        <f t="shared" si="517"/>
        <v>3.9000000000000021</v>
      </c>
      <c r="J35" s="33">
        <f t="shared" si="186"/>
        <v>9.259999999999998</v>
      </c>
      <c r="K35" s="33">
        <f t="shared" si="273"/>
        <v>1.0000000000001563E-2</v>
      </c>
      <c r="L35" s="33">
        <f t="shared" si="188"/>
        <v>7.7283463589509331</v>
      </c>
      <c r="N35" s="33">
        <f t="shared" si="189"/>
        <v>1.3999999999999995</v>
      </c>
      <c r="Q35" s="33">
        <f t="shared" si="190"/>
        <v>0</v>
      </c>
      <c r="T35" s="33">
        <f t="shared" ref="T35" si="518">ABS(T24-S24)</f>
        <v>1.0000000000000018</v>
      </c>
      <c r="U35" s="33">
        <f>ABS(U24-T24)</f>
        <v>4.620000000000001</v>
      </c>
      <c r="W35" s="33">
        <f>ABS(W24-V24)</f>
        <v>4.8499999999999996</v>
      </c>
      <c r="X35" s="33">
        <f t="shared" si="193"/>
        <v>0.30000000000000071</v>
      </c>
      <c r="Z35" s="33">
        <f t="shared" si="194"/>
        <v>0</v>
      </c>
      <c r="AA35" s="33">
        <f t="shared" si="195"/>
        <v>0</v>
      </c>
      <c r="AB35" s="33">
        <f t="shared" si="196"/>
        <v>0</v>
      </c>
      <c r="AD35" s="33">
        <f t="shared" si="197"/>
        <v>2.8307304820752694</v>
      </c>
      <c r="AE35" s="33">
        <f>ABS(AE24-AC24)</f>
        <v>2.2440033123635388</v>
      </c>
      <c r="AF35" s="33">
        <f t="shared" ref="AF35" si="519">ABS(AF24-AE24)</f>
        <v>2.5861482375925666</v>
      </c>
      <c r="AH35" s="33">
        <f>ABS(AH24-AG24)</f>
        <v>13.379999999999995</v>
      </c>
      <c r="AI35" s="33">
        <f t="shared" ref="AI35" si="520">ABS(AI24-AH24)</f>
        <v>0</v>
      </c>
      <c r="AK35" s="33">
        <f t="shared" ref="AK35:AL35" si="521">ABS(AK24-AJ24)</f>
        <v>8.620000000000001</v>
      </c>
      <c r="AL35" s="33">
        <f t="shared" si="521"/>
        <v>0</v>
      </c>
      <c r="AN35" s="33">
        <f t="shared" ref="AN35:AO35" si="522">ABS(AN24-AM24)</f>
        <v>2.7752985677249349</v>
      </c>
      <c r="AO35" s="33">
        <f t="shared" si="522"/>
        <v>0</v>
      </c>
      <c r="AQ35" s="33">
        <f t="shared" ref="AQ35:AR35" si="523">ABS(AQ24-AP24)</f>
        <v>1.2719793599580989</v>
      </c>
      <c r="AR35" s="33">
        <f t="shared" si="523"/>
        <v>0.37947809224494122</v>
      </c>
      <c r="AT35" s="33">
        <f t="shared" ref="AT35:AU35" si="524">ABS(AT24-AS24)</f>
        <v>2.2700000000000031</v>
      </c>
      <c r="AU35" s="33">
        <f t="shared" si="524"/>
        <v>10.499999999999993</v>
      </c>
      <c r="AW35" s="33">
        <f t="shared" ref="AW35:AX35" si="525">ABS(AW24-AV24)</f>
        <v>3.1900000000000013</v>
      </c>
      <c r="AX35" s="33">
        <f t="shared" si="525"/>
        <v>0.21999999999999886</v>
      </c>
      <c r="AZ35" s="33">
        <f t="shared" ref="AZ35" si="526">ABS(AZ24-AY24)</f>
        <v>0</v>
      </c>
      <c r="BB35" s="33">
        <f t="shared" ref="BB35" si="527">ABS(BB24-BA24)</f>
        <v>7.4679065598889665</v>
      </c>
      <c r="BH35" s="33">
        <f t="shared" ref="BH35:BI35" si="528">ABS(BH24-BG24)</f>
        <v>5.9</v>
      </c>
      <c r="BI35" s="33">
        <f t="shared" si="528"/>
        <v>0</v>
      </c>
      <c r="BK35" s="33">
        <f t="shared" ref="BK35:BM35" si="529">ABS(BK24-BJ24)</f>
        <v>0.81900776596546798</v>
      </c>
      <c r="BL35" s="33">
        <f t="shared" si="529"/>
        <v>0</v>
      </c>
      <c r="BM35" s="33">
        <f t="shared" si="529"/>
        <v>0.59375706853653032</v>
      </c>
      <c r="BP35" s="33">
        <f>ABS(BP24-BO24)</f>
        <v>3.5353657944560375</v>
      </c>
      <c r="BR35" s="33">
        <f t="shared" ref="BR35" si="530">ABS(BR24-BQ24)</f>
        <v>7.8319811829963193</v>
      </c>
      <c r="BU35" s="33">
        <f>ABS(BU24-BT24)</f>
        <v>10.311751454495642</v>
      </c>
      <c r="BV35" s="33">
        <f t="shared" si="213"/>
        <v>2.1588169804206387</v>
      </c>
      <c r="BW35" s="33">
        <f t="shared" si="213"/>
        <v>0.32588721233592821</v>
      </c>
      <c r="BY35" s="33">
        <f t="shared" ref="BY35" si="531">ABS(BY24-BX24)</f>
        <v>5.9599552466648333</v>
      </c>
      <c r="CA35" s="33">
        <f t="shared" si="215"/>
        <v>0.90014046936103398</v>
      </c>
      <c r="CB35" s="33">
        <f t="shared" si="216"/>
        <v>6.0673687809232604</v>
      </c>
      <c r="CD35" s="33">
        <f t="shared" ref="CD35:CE35" si="532">ABS(CD24-CC24)</f>
        <v>10.059921044402046</v>
      </c>
      <c r="CE35" s="33">
        <f t="shared" si="532"/>
        <v>3.0273771327476169</v>
      </c>
      <c r="CG35" s="33">
        <f t="shared" ref="CG35:CH35" si="533">ABS(CG24-CF24)</f>
        <v>7.2433108426161965</v>
      </c>
      <c r="CH35" s="33">
        <f t="shared" si="533"/>
        <v>30.993995993846717</v>
      </c>
      <c r="CK35" s="33">
        <f t="shared" si="219"/>
        <v>0</v>
      </c>
      <c r="CM35" s="33">
        <f t="shared" ref="CM35" si="534">ABS(CM24-CL24)</f>
        <v>0</v>
      </c>
      <c r="CO35" s="33">
        <f t="shared" si="221"/>
        <v>11.17896514801177</v>
      </c>
      <c r="CP35" s="33">
        <f t="shared" si="221"/>
        <v>6.9509341282980586E-4</v>
      </c>
      <c r="CS35" s="33">
        <f t="shared" si="222"/>
        <v>1.3</v>
      </c>
      <c r="CU35" s="33">
        <f t="shared" si="157"/>
        <v>0</v>
      </c>
      <c r="CV35" s="33">
        <f t="shared" si="223"/>
        <v>0</v>
      </c>
      <c r="CZ35" s="33">
        <f t="shared" si="224"/>
        <v>7.0000000000000284E-2</v>
      </c>
      <c r="DB35" s="33">
        <f>ABS(DB24-DA24)</f>
        <v>5.5799999999999983</v>
      </c>
      <c r="DD35" s="33">
        <f t="shared" si="225"/>
        <v>6.8865861365042491</v>
      </c>
      <c r="DF35" s="33">
        <f>ABS(DF24-DE24)</f>
        <v>14.407144008741909</v>
      </c>
      <c r="DG35" s="33">
        <f t="shared" ref="DG35" si="535">ABS(DG24-DF24)</f>
        <v>28.516023861132506</v>
      </c>
      <c r="DI35" s="33">
        <f t="shared" ref="DI35" si="536">ABS(DI24-DH24)</f>
        <v>0</v>
      </c>
      <c r="DK35" s="33">
        <f t="shared" si="228"/>
        <v>7.584568835098338</v>
      </c>
      <c r="DL35" s="33">
        <f t="shared" si="229"/>
        <v>0.83751891074130214</v>
      </c>
      <c r="DM35" s="33">
        <f t="shared" si="159"/>
        <v>3.8680786686838111</v>
      </c>
      <c r="DO35" s="33">
        <f t="shared" ref="DO35:DP35" si="537">ABS(DO24-DN24)</f>
        <v>10</v>
      </c>
      <c r="DP35" s="33">
        <f t="shared" si="537"/>
        <v>4.1000000000000014</v>
      </c>
      <c r="DR35" s="33">
        <f t="shared" ref="DR35:DS35" si="538">ABS(DR24-DQ24)</f>
        <v>8.6874937505197813E-2</v>
      </c>
      <c r="DS35" s="33">
        <f t="shared" si="538"/>
        <v>0.19999999999999929</v>
      </c>
      <c r="DU35" s="33">
        <f t="shared" ref="DU35:DV35" si="539">ABS(DU24-DT24)</f>
        <v>8.3999999999999986</v>
      </c>
      <c r="DV35" s="33">
        <f t="shared" si="539"/>
        <v>1.6247823040736762</v>
      </c>
      <c r="DX35" s="33">
        <f t="shared" ref="DX35" si="540">ABS(DX24-DW24)</f>
        <v>0.79999999999999716</v>
      </c>
      <c r="DZ35" s="33">
        <f t="shared" ref="DZ35:EA35" si="541">ABS(DZ24-DY24)</f>
        <v>4.9824384293435955</v>
      </c>
      <c r="EA35" s="33">
        <f t="shared" si="541"/>
        <v>0</v>
      </c>
      <c r="EC35" s="33">
        <f t="shared" si="235"/>
        <v>5.1858237356033996</v>
      </c>
      <c r="ED35" s="33">
        <f t="shared" ref="ED35" si="542">ABS(ED24-EC24)</f>
        <v>3.3145968953430227</v>
      </c>
      <c r="EF35" s="33">
        <f t="shared" ref="EF35" si="543">ABS(EF24-EE24)</f>
        <v>4.4899999999999949</v>
      </c>
      <c r="EH35" s="33">
        <f t="shared" si="162"/>
        <v>3.2900000000000063</v>
      </c>
      <c r="EM35" s="33">
        <f t="shared" ref="EM35:EN35" si="544">ABS(EM24-EL24)</f>
        <v>0.43000000000000016</v>
      </c>
      <c r="EN35" s="33">
        <f t="shared" si="544"/>
        <v>2.0699999999999998</v>
      </c>
      <c r="EP35" s="33">
        <f t="shared" ref="EP35:ES35" si="545">ABS(EP24-EO24)</f>
        <v>26.110070578672541</v>
      </c>
      <c r="EQ35" s="33">
        <f t="shared" si="545"/>
        <v>26.445054945054945</v>
      </c>
      <c r="ES35" s="33">
        <f t="shared" si="545"/>
        <v>8.509999999999998</v>
      </c>
      <c r="ET35" s="33">
        <f t="shared" ref="ET35:EU35" si="546">ABS(ET24-ES24)</f>
        <v>0</v>
      </c>
      <c r="EU35" s="33">
        <f t="shared" si="546"/>
        <v>8.3800000000000026</v>
      </c>
      <c r="EW35" s="33">
        <f t="shared" ref="EW35" si="547">ABS(EW24-EV24)</f>
        <v>2.1381184153223387</v>
      </c>
      <c r="EY35" s="33">
        <f t="shared" si="242"/>
        <v>1.1535558522474396</v>
      </c>
      <c r="FA35" s="33">
        <f t="shared" ref="FA35" si="548">ABS(FA24-EZ24)</f>
        <v>0</v>
      </c>
      <c r="FC35" s="33">
        <f t="shared" ref="FC35" si="549">ABS(FC24-FB24)</f>
        <v>0.98000000000000043</v>
      </c>
      <c r="FE35" s="33">
        <f t="shared" ref="FE35" si="550">ABS(FE24-FD24)</f>
        <v>1.7885312444848722</v>
      </c>
      <c r="FG35" s="33">
        <f t="shared" ref="FG35:FI35" si="551">ABS(FG24-FF24)</f>
        <v>0</v>
      </c>
      <c r="FH35" s="33">
        <f t="shared" si="551"/>
        <v>2.5996145847731214</v>
      </c>
      <c r="FI35" s="33">
        <f t="shared" si="551"/>
        <v>1.1024377599246975</v>
      </c>
      <c r="FK35" s="33">
        <f t="shared" si="246"/>
        <v>11.57773537732745</v>
      </c>
      <c r="FM35" s="33">
        <f t="shared" ref="FM35" si="552">ABS(FM24-FL24)</f>
        <v>2.099506673295346</v>
      </c>
      <c r="FO35" s="33">
        <f t="shared" si="169"/>
        <v>1</v>
      </c>
      <c r="FR35" s="33">
        <f t="shared" ref="FR35" si="553">ABS(FR24-FQ24)</f>
        <v>24.169617193349239</v>
      </c>
      <c r="FU35" s="33">
        <f t="shared" ref="FU35:FV35" si="554">ABS(FU24-FT24)</f>
        <v>1.1905732671182996</v>
      </c>
      <c r="FV35" s="33">
        <f t="shared" si="554"/>
        <v>0.26764242576873132</v>
      </c>
      <c r="GR35" s="33">
        <f t="shared" si="170"/>
        <v>0.13470534478234514</v>
      </c>
      <c r="GU35" s="33">
        <f t="shared" ref="GU35" si="555">ABS(GU24-GT24)</f>
        <v>3.0751602370310636</v>
      </c>
      <c r="HA35" s="33">
        <f t="shared" si="250"/>
        <v>0</v>
      </c>
      <c r="HC35" s="33">
        <f t="shared" ref="HC35" si="556">ABS(HB24-HC24)</f>
        <v>0</v>
      </c>
      <c r="HE35" s="33">
        <f t="shared" ref="HE35" si="557">ABS(HD24-HE24)</f>
        <v>5.91</v>
      </c>
      <c r="HG35" s="33">
        <f t="shared" ref="HG35" si="558">ABS(HF24-HG24)</f>
        <v>0</v>
      </c>
      <c r="HI35" s="33">
        <f t="shared" ref="HI35" si="559">ABS(HH24-HI24)</f>
        <v>0.51</v>
      </c>
      <c r="HK35" s="33">
        <f t="shared" ref="HK35" si="560">ABS(HJ24-HK24)</f>
        <v>12.119999999999997</v>
      </c>
      <c r="HM35" s="33">
        <f t="shared" ref="HM35" si="561">ABS(HL24-HM24)</f>
        <v>7.82</v>
      </c>
      <c r="HO35" s="33">
        <f t="shared" ref="HO35" si="562">ABS(HN24-HO24)</f>
        <v>9.39</v>
      </c>
      <c r="HQ35" s="33">
        <f t="shared" ref="HQ35" si="563">ABS(HP24-HQ24)</f>
        <v>0</v>
      </c>
      <c r="HS35" s="33">
        <f t="shared" ref="HS35" si="564">ABS(HR24-HS24)</f>
        <v>6.0000000000000053E-2</v>
      </c>
      <c r="HU35" s="33">
        <f t="shared" ref="HU35" si="565">ABS(HT24-HU24)</f>
        <v>7.84</v>
      </c>
      <c r="HW35" s="33">
        <f t="shared" ref="HW35:HY35" si="566">ABS(HV24-HW24)</f>
        <v>0.25</v>
      </c>
      <c r="HY35" s="33">
        <f t="shared" si="566"/>
        <v>0</v>
      </c>
      <c r="IA35" s="33">
        <f t="shared" ref="IA35" si="567">ABS(HZ24-IA24)</f>
        <v>5.88</v>
      </c>
      <c r="IC35" s="33">
        <f t="shared" ref="IC35" si="568">ABS(IB24-IC24)</f>
        <v>1.6500000000000004</v>
      </c>
      <c r="IE35" s="33">
        <f t="shared" ref="IE35" si="569">ABS(ID24-IE24)</f>
        <v>32.01</v>
      </c>
      <c r="IG35" s="33">
        <f t="shared" ref="IG35" si="570">ABS(IF24-IG24)</f>
        <v>0</v>
      </c>
      <c r="II35" s="33">
        <f t="shared" ref="II35" si="571">ABS(IH24-II24)</f>
        <v>0</v>
      </c>
      <c r="IN35" s="33">
        <f t="shared" ref="IN35:IP35" si="572">ABS(IM24-IN24)</f>
        <v>12.3</v>
      </c>
      <c r="IP35" s="33">
        <f t="shared" si="572"/>
        <v>3.6599999999999997</v>
      </c>
      <c r="IR35" s="33">
        <f t="shared" ref="IR35" si="573">ABS(IQ24-IR24)</f>
        <v>3.9000000000000004</v>
      </c>
      <c r="IT35" s="33">
        <f t="shared" si="181"/>
        <v>9.4692206507467347E-3</v>
      </c>
      <c r="IV35" s="33">
        <f t="shared" ref="IV35:IX35" si="574">ABS(IU24-IV24)</f>
        <v>0.21000000000000085</v>
      </c>
      <c r="IX35" s="33">
        <f t="shared" si="574"/>
        <v>1.4913210007334357</v>
      </c>
      <c r="IZ35" s="33">
        <f t="shared" ref="IZ35" si="575">ABS(IY24-IZ24)</f>
        <v>0.53592425353422612</v>
      </c>
      <c r="JC35" s="33">
        <f t="shared" ref="JC35" si="576">ABS(JB24-JC24)</f>
        <v>0.11158528961454905</v>
      </c>
    </row>
    <row r="36" spans="1:263" s="33" customFormat="1" x14ac:dyDescent="0.3">
      <c r="A36" s="39" t="s">
        <v>253</v>
      </c>
      <c r="B36" s="33" t="s">
        <v>214</v>
      </c>
      <c r="C36" s="33">
        <f xml:space="preserve"> SUM(C29:C35)</f>
        <v>16.280000000000008</v>
      </c>
      <c r="D36" s="33" t="s">
        <v>215</v>
      </c>
      <c r="E36" s="33">
        <f xml:space="preserve"> SUM(E29:E35)</f>
        <v>45.79999999999999</v>
      </c>
      <c r="F36" s="33" t="s">
        <v>215</v>
      </c>
      <c r="G36" s="33">
        <f t="shared" ref="G36" si="577" xml:space="preserve"> SUM(G29:G35)</f>
        <v>25.199999999999982</v>
      </c>
      <c r="H36" s="33">
        <f xml:space="preserve"> SUM(H29:H35)</f>
        <v>35</v>
      </c>
      <c r="I36" s="33" t="s">
        <v>215</v>
      </c>
      <c r="J36" s="33">
        <f t="shared" ref="J36:L36" si="578" xml:space="preserve"> SUM(J29:J35)</f>
        <v>27.940000000000019</v>
      </c>
      <c r="K36" s="33">
        <f t="shared" si="578"/>
        <v>53.94</v>
      </c>
      <c r="L36" s="33">
        <f t="shared" si="578"/>
        <v>21.475197568992769</v>
      </c>
      <c r="N36" s="33">
        <f t="shared" ref="N36" si="579" xml:space="preserve"> SUM(N29:N35)</f>
        <v>7.7999999999999874</v>
      </c>
      <c r="O36" s="33" t="s">
        <v>215</v>
      </c>
      <c r="Q36" s="33">
        <f t="shared" ref="Q36" si="580" xml:space="preserve"> SUM(Q29:Q35)</f>
        <v>72</v>
      </c>
      <c r="R36" s="33" t="s">
        <v>215</v>
      </c>
      <c r="T36" s="33">
        <f t="shared" ref="T36" si="581" xml:space="preserve"> SUM(T29:T35)</f>
        <v>6.2599999999999749</v>
      </c>
      <c r="U36" s="33">
        <f xml:space="preserve"> SUM(U29:U35)</f>
        <v>25.300000000000029</v>
      </c>
      <c r="V36" s="33" t="s">
        <v>215</v>
      </c>
      <c r="W36" s="33">
        <f t="shared" ref="W36:AB36" si="582" xml:space="preserve"> SUM(W29:W35)</f>
        <v>17.419999999999987</v>
      </c>
      <c r="X36" s="33">
        <f t="shared" si="582"/>
        <v>32.810731707317046</v>
      </c>
      <c r="Z36" s="33">
        <f t="shared" si="582"/>
        <v>43.88604674490923</v>
      </c>
      <c r="AA36" s="33">
        <f t="shared" si="582"/>
        <v>16.183502190122709</v>
      </c>
      <c r="AB36" s="33">
        <f t="shared" si="582"/>
        <v>34.326015880710891</v>
      </c>
      <c r="AD36" s="33">
        <f xml:space="preserve"> SUM(AD29:AD35)</f>
        <v>13.053696925245013</v>
      </c>
      <c r="AE36" s="33">
        <f t="shared" ref="AE36:AF36" si="583" xml:space="preserve"> SUM(AE29:AE35)</f>
        <v>4.5657071218428449</v>
      </c>
      <c r="AF36" s="33">
        <f t="shared" si="583"/>
        <v>9.960545785226504</v>
      </c>
      <c r="AH36" s="33">
        <f t="shared" ref="AH36" si="584" xml:space="preserve"> SUM(AH29:AH35)</f>
        <v>32.399999999999984</v>
      </c>
      <c r="AI36" s="33">
        <f t="shared" ref="AI36" si="585" xml:space="preserve"> SUM(AI29:AI35)</f>
        <v>6.2613490816511366</v>
      </c>
      <c r="AK36" s="33">
        <f t="shared" ref="AK36" si="586" xml:space="preserve"> SUM(AK29:AK35)</f>
        <v>17.239999999999984</v>
      </c>
      <c r="AL36" s="33">
        <f t="shared" ref="AL36" si="587" xml:space="preserve"> SUM(AL29:AL35)</f>
        <v>14.559999999999972</v>
      </c>
      <c r="AN36" s="33">
        <f t="shared" ref="AN36" si="588" xml:space="preserve"> SUM(AN29:AN35)</f>
        <v>67.397679459390517</v>
      </c>
      <c r="AO36" s="33">
        <f t="shared" ref="AO36" si="589" xml:space="preserve"> SUM(AO29:AO35)</f>
        <v>16.966296910195933</v>
      </c>
      <c r="AQ36" s="33">
        <f t="shared" ref="AQ36" si="590" xml:space="preserve"> SUM(AQ29:AQ35)</f>
        <v>5.7673983182600885</v>
      </c>
      <c r="AR36" s="33">
        <f t="shared" ref="AR36" si="591" xml:space="preserve"> SUM(AR29:AR35)</f>
        <v>0.79573379695414725</v>
      </c>
      <c r="AT36" s="33">
        <f t="shared" ref="AT36" si="592" xml:space="preserve"> SUM(AT29:AT35)</f>
        <v>4.5400000000000009</v>
      </c>
      <c r="AU36" s="33">
        <f t="shared" ref="AU36" si="593" xml:space="preserve"> SUM(AU29:AU35)</f>
        <v>22.201649816823203</v>
      </c>
      <c r="AW36" s="33">
        <f t="shared" ref="AW36" si="594" xml:space="preserve"> SUM(AW29:AW35)</f>
        <v>11.967045733611293</v>
      </c>
      <c r="AX36" s="33">
        <f t="shared" ref="AX36" si="595" xml:space="preserve"> SUM(AX29:AX35)</f>
        <v>4.9934576709919529</v>
      </c>
      <c r="AZ36" s="33">
        <f t="shared" ref="AZ36" si="596" xml:space="preserve"> SUM(AZ29:AZ35)</f>
        <v>7.2559252446079707</v>
      </c>
      <c r="BB36" s="33">
        <f t="shared" ref="BB36" si="597" xml:space="preserve"> SUM(BB29:BB35)</f>
        <v>22.681711953120342</v>
      </c>
      <c r="BD36" s="33">
        <v>100</v>
      </c>
      <c r="BH36" s="33">
        <f t="shared" ref="BH36:BI36" si="598" xml:space="preserve"> SUM(BH29:BH35)</f>
        <v>25.199999999999989</v>
      </c>
      <c r="BI36" s="33">
        <f t="shared" si="598"/>
        <v>18.600000000000001</v>
      </c>
      <c r="BJ36" s="33" t="s">
        <v>215</v>
      </c>
      <c r="BK36" s="33">
        <f t="shared" ref="BK36" si="599" xml:space="preserve"> SUM(BK29:BK35)</f>
        <v>33.564804342908843</v>
      </c>
      <c r="BL36" s="33">
        <f t="shared" ref="BL36" si="600" xml:space="preserve"> SUM(BL29:BL35)</f>
        <v>38.490537585764926</v>
      </c>
      <c r="BM36" s="33">
        <f t="shared" ref="BM36" si="601" xml:space="preserve"> SUM(BM29:BM35)</f>
        <v>9.7489255824474093</v>
      </c>
      <c r="BN36" s="33" t="s">
        <v>215</v>
      </c>
      <c r="BP36" s="33">
        <f t="shared" ref="BP36" si="602" xml:space="preserve"> SUM(BP29:BP35)</f>
        <v>19.445118695082289</v>
      </c>
      <c r="BQ36" s="33" t="s">
        <v>215</v>
      </c>
      <c r="BR36" s="33">
        <f t="shared" ref="BR36" si="603" xml:space="preserve"> SUM(BR29:BR35)</f>
        <v>18.607284464744737</v>
      </c>
      <c r="BS36" s="33" t="s">
        <v>215</v>
      </c>
      <c r="BU36" s="33">
        <f>SUM(BU29:BU35)</f>
        <v>30.776432381932231</v>
      </c>
      <c r="BV36" s="33">
        <f>SUM(BV29:BV35)</f>
        <v>7.3391867968990212</v>
      </c>
      <c r="BW36" s="33">
        <f t="shared" ref="BW36:CA36" si="604">SUM(BW29:BW35)</f>
        <v>21.357466961119769</v>
      </c>
      <c r="BY36" s="33">
        <f t="shared" si="604"/>
        <v>12.836826685124258</v>
      </c>
      <c r="CA36" s="33">
        <f t="shared" si="604"/>
        <v>39.827388699242263</v>
      </c>
      <c r="CB36" s="33">
        <f t="shared" ref="CB36:CE36" si="605">SUM(CB29:CB35)</f>
        <v>19.937132600829997</v>
      </c>
      <c r="CD36" s="33">
        <f t="shared" si="605"/>
        <v>21.193525963130284</v>
      </c>
      <c r="CE36" s="33">
        <f t="shared" si="605"/>
        <v>6.0547542654952355</v>
      </c>
      <c r="CG36" s="33">
        <f t="shared" ref="CG36:CH36" si="606">SUM(CG29:CG35)</f>
        <v>19.145977345826562</v>
      </c>
      <c r="CH36" s="33">
        <f t="shared" si="606"/>
        <v>62.997563374932142</v>
      </c>
      <c r="CK36" s="33">
        <f t="shared" ref="CK36" si="607">SUM(CK29:CK35)</f>
        <v>0.33999999999999719</v>
      </c>
      <c r="CM36" s="33">
        <f t="shared" ref="CM36" si="608">SUM(CM29:CM35)</f>
        <v>0</v>
      </c>
      <c r="CO36" s="33">
        <f>SUM(CO29:CO35)</f>
        <v>93.651039906925718</v>
      </c>
      <c r="CP36" s="33">
        <f>SUM(CP29:CP35)</f>
        <v>2.5692712074278368E-2</v>
      </c>
      <c r="CS36" s="33">
        <f t="shared" ref="CS36" si="609" xml:space="preserve"> SUM(CS29:CS35)</f>
        <v>9.5099198056013368</v>
      </c>
      <c r="CU36" s="33">
        <f t="shared" ref="CU36" si="610" xml:space="preserve"> SUM(CU29:CU35)</f>
        <v>27.4</v>
      </c>
      <c r="CV36" s="33">
        <f xml:space="preserve"> SUM(CV29:CV35)</f>
        <v>4</v>
      </c>
      <c r="CW36" s="33" t="s">
        <v>215</v>
      </c>
      <c r="CZ36" s="33">
        <f t="shared" ref="CZ36" si="611" xml:space="preserve"> SUM(CZ29:CZ35)</f>
        <v>47.379999999999995</v>
      </c>
      <c r="DA36" s="33" t="s">
        <v>215</v>
      </c>
      <c r="DB36" s="33">
        <f xml:space="preserve"> SUM(DB29:DB35)</f>
        <v>13.280000000000001</v>
      </c>
      <c r="DC36" s="33" t="s">
        <v>215</v>
      </c>
      <c r="DD36" s="33">
        <f>SUM(DD29:DD35)</f>
        <v>38.346451743110777</v>
      </c>
      <c r="DE36" s="33" t="s">
        <v>215</v>
      </c>
      <c r="DF36" s="33">
        <f>SUM(DF29:DF35)</f>
        <v>31.028429142109896</v>
      </c>
      <c r="DG36" s="33">
        <f>SUM(DG29:DG35)</f>
        <v>57.032047722265034</v>
      </c>
      <c r="DH36" s="33" t="s">
        <v>215</v>
      </c>
      <c r="DI36" s="33">
        <f t="shared" ref="DI36:DL36" si="612">SUM(DI29:DI35)</f>
        <v>41.60574430130621</v>
      </c>
      <c r="DK36" s="33">
        <f t="shared" si="612"/>
        <v>23.042420574886549</v>
      </c>
      <c r="DL36" s="33">
        <f t="shared" si="612"/>
        <v>5.9705900151285665</v>
      </c>
      <c r="DM36" s="33">
        <f>SUM(DM29:DM35)</f>
        <v>8.4602118003025666</v>
      </c>
      <c r="DO36" s="33">
        <f t="shared" ref="DO36:DP36" si="613">SUM(DO29:DO35)</f>
        <v>20.000000000000004</v>
      </c>
      <c r="DP36" s="33">
        <f t="shared" si="613"/>
        <v>37.522724207687133</v>
      </c>
      <c r="DR36" s="33">
        <f t="shared" ref="DR36:DS36" si="614">SUM(DR29:DR35)</f>
        <v>1.9770674746092387</v>
      </c>
      <c r="DS36" s="33">
        <f t="shared" si="614"/>
        <v>2.0000000000000107</v>
      </c>
      <c r="DU36" s="33">
        <f t="shared" ref="DU36" si="615">SUM(DU29:DU35)</f>
        <v>44.079999999999984</v>
      </c>
      <c r="DV36" s="33">
        <f t="shared" ref="DV36" si="616">SUM(DV29:DV35)</f>
        <v>4.728683815433909</v>
      </c>
      <c r="DX36" s="33">
        <f t="shared" ref="DX36" si="617">SUM(DX29:DX35)</f>
        <v>1.7999999999999985</v>
      </c>
      <c r="DZ36" s="33">
        <f t="shared" ref="DZ36" si="618">SUM(DZ29:DZ35)</f>
        <v>9.9648768586872016</v>
      </c>
      <c r="EA36" s="33">
        <f>SUM(EA29:EA35)</f>
        <v>6.3936736281994699</v>
      </c>
      <c r="EC36" s="33">
        <f>SUM(EC29:EC35)</f>
        <v>12.850746119178758</v>
      </c>
      <c r="ED36" s="33">
        <f>SUM(ED29:ED35)</f>
        <v>8.073360040060102</v>
      </c>
      <c r="EF36" s="33">
        <f t="shared" ref="EF36:EH36" si="619">SUM(EF29:EF35)</f>
        <v>15.099999999999984</v>
      </c>
      <c r="EH36" s="33">
        <f t="shared" si="619"/>
        <v>6.5800000000000134</v>
      </c>
      <c r="EL36" s="33" t="s">
        <v>215</v>
      </c>
      <c r="EM36" s="33">
        <f t="shared" ref="EM36" si="620" xml:space="preserve"> SUM(EM29:EM35)</f>
        <v>51.456815286624206</v>
      </c>
      <c r="EN36" s="33">
        <f t="shared" ref="EN36" si="621" xml:space="preserve"> SUM(EN29:EN35)</f>
        <v>12.360000000000012</v>
      </c>
      <c r="EO36" s="33" t="s">
        <v>215</v>
      </c>
      <c r="EP36" s="33">
        <f t="shared" ref="EP36" si="622" xml:space="preserve"> SUM(EP29:EP35)</f>
        <v>52.22014115734509</v>
      </c>
      <c r="EQ36" s="33">
        <f t="shared" ref="EQ36:EY36" si="623" xml:space="preserve"> SUM(EQ29:EQ35)</f>
        <v>72.805860805860803</v>
      </c>
      <c r="ES36" s="33">
        <f t="shared" si="623"/>
        <v>17.999999999999996</v>
      </c>
      <c r="ET36" s="33">
        <f t="shared" si="623"/>
        <v>6.2399999999999984</v>
      </c>
      <c r="EU36" s="33">
        <f t="shared" si="623"/>
        <v>29.059999999999985</v>
      </c>
      <c r="EW36" s="33">
        <f t="shared" si="623"/>
        <v>9.6639974204771271</v>
      </c>
      <c r="EY36" s="33">
        <f t="shared" si="623"/>
        <v>66.045945705384938</v>
      </c>
      <c r="EZ36" s="33" t="s">
        <v>215</v>
      </c>
      <c r="FA36" s="33">
        <f t="shared" ref="FA36:FC36" si="624" xml:space="preserve"> SUM(FA29:FA35)</f>
        <v>0</v>
      </c>
      <c r="FC36" s="33">
        <f t="shared" si="624"/>
        <v>9.92</v>
      </c>
      <c r="FD36" s="33" t="s">
        <v>215</v>
      </c>
      <c r="FE36" s="33">
        <f t="shared" ref="FE36" si="625" xml:space="preserve"> SUM(FE29:FE35)</f>
        <v>7.8589755773068513</v>
      </c>
      <c r="FG36" s="33">
        <f t="shared" ref="FG36" si="626" xml:space="preserve"> SUM(FG29:FG35)</f>
        <v>11.903493463151761</v>
      </c>
      <c r="FH36" s="33">
        <f t="shared" ref="FH36" si="627" xml:space="preserve"> SUM(FH29:FH35)</f>
        <v>15.084760183396261</v>
      </c>
      <c r="FI36" s="33">
        <f t="shared" ref="FI36:FM36" si="628" xml:space="preserve"> SUM(FI29:FI35)</f>
        <v>10.318984247942392</v>
      </c>
      <c r="FK36" s="33">
        <f t="shared" ref="FJ36:FK36" si="629" xml:space="preserve"> SUM(FK29:FK35)</f>
        <v>33.198675351448557</v>
      </c>
      <c r="FM36" s="33">
        <f t="shared" si="628"/>
        <v>25.423534360778618</v>
      </c>
      <c r="FO36" s="33">
        <f t="shared" ref="FO36" si="630" xml:space="preserve"> SUM(FO29:FO35)</f>
        <v>73.2</v>
      </c>
      <c r="FR36" s="33">
        <f>SUM(FR29:FR35)</f>
        <v>227.46606752637953</v>
      </c>
      <c r="FS36" s="33" t="s">
        <v>215</v>
      </c>
      <c r="FU36" s="33">
        <f t="shared" ref="FU36:FV36" si="631">SUM(FU29:FU35)</f>
        <v>15.139879082247125</v>
      </c>
      <c r="FV36" s="33">
        <f t="shared" si="631"/>
        <v>12.897204568685833</v>
      </c>
      <c r="FW36" s="33" t="s">
        <v>215</v>
      </c>
      <c r="GR36" s="33">
        <f>SUM(GR29:GR35)</f>
        <v>20.892787665469285</v>
      </c>
      <c r="GU36" s="33">
        <f t="shared" ref="GU36" si="632" xml:space="preserve"> SUM(GU29:GU35)</f>
        <v>33.088207275963001</v>
      </c>
      <c r="GV36" s="33" t="s">
        <v>215</v>
      </c>
      <c r="HA36" s="33">
        <f>SUM(HA29:HA35)</f>
        <v>17.559999999999999</v>
      </c>
      <c r="HC36" s="33">
        <f t="shared" ref="HC36" si="633">SUM(HC29:HC35)</f>
        <v>48.019999999999989</v>
      </c>
      <c r="HE36" s="33">
        <f t="shared" ref="HE36" si="634">SUM(HE29:HE35)</f>
        <v>27.06</v>
      </c>
      <c r="HG36" s="33">
        <f t="shared" ref="HG36" si="635">SUM(HG29:HG35)</f>
        <v>12.079999999999995</v>
      </c>
      <c r="HI36" s="33">
        <f t="shared" ref="HI36" si="636">SUM(HI29:HI35)</f>
        <v>8.1000000000000085</v>
      </c>
      <c r="HK36" s="33">
        <f t="shared" ref="HK36" si="637">SUM(HK29:HK35)</f>
        <v>64.179999999999978</v>
      </c>
      <c r="HM36" s="33">
        <f t="shared" ref="HM36" si="638">SUM(HM29:HM35)</f>
        <v>40.860000000000007</v>
      </c>
      <c r="HO36" s="33">
        <f>SUM(HO29:HO35)</f>
        <v>43.89800000000001</v>
      </c>
      <c r="HQ36" s="33">
        <f>SUM(HQ29:HQ35)</f>
        <v>51.680000000000014</v>
      </c>
      <c r="HS36" s="33">
        <f t="shared" ref="HS36" si="639">SUM(HS29:HS35)</f>
        <v>15.040000000000004</v>
      </c>
      <c r="HU36" s="33">
        <f>SUM(HU29:HU35)</f>
        <v>33.097999999999992</v>
      </c>
      <c r="HW36" s="33">
        <f t="shared" ref="HW36" si="640">SUM(HW29:HW35)</f>
        <v>24.579999999999988</v>
      </c>
      <c r="HY36" s="33">
        <f t="shared" ref="HY36" si="641">SUM(HY29:HY35)</f>
        <v>11.359999999999998</v>
      </c>
      <c r="IA36" s="33">
        <f t="shared" ref="IA36" si="642">SUM(IA29:IA35)</f>
        <v>37.82</v>
      </c>
      <c r="IC36" s="33">
        <f t="shared" ref="IC36" si="643">SUM(IC29:IC35)</f>
        <v>35.339999999999996</v>
      </c>
      <c r="IE36" s="33">
        <f t="shared" ref="IE36" si="644">SUM(IE29:IE35)</f>
        <v>89.47999999999999</v>
      </c>
      <c r="IG36" s="33">
        <f t="shared" ref="IG36" si="645">SUM(IG29:IG35)</f>
        <v>10.180000000000014</v>
      </c>
      <c r="II36" s="33">
        <f t="shared" ref="II36" si="646">SUM(II29:II35)</f>
        <v>4.0600000000000183</v>
      </c>
      <c r="IN36" s="33">
        <f t="shared" ref="IN36" si="647">SUM(IN29:IN35)</f>
        <v>61.800000000000011</v>
      </c>
      <c r="IP36" s="33">
        <f t="shared" ref="IP36" si="648">SUM(IP29:IP35)</f>
        <v>19.78</v>
      </c>
      <c r="IR36" s="33">
        <f t="shared" ref="IR36" si="649">SUM(IR29:IR35)</f>
        <v>20.560000000000002</v>
      </c>
      <c r="IT36" s="33">
        <f>SUM(IT29:IT35)</f>
        <v>0.59417930626621485</v>
      </c>
      <c r="IV36" s="33">
        <f t="shared" ref="IV36" si="650">SUM(IV29:IV35)</f>
        <v>0.70000000000000306</v>
      </c>
      <c r="IX36" s="33">
        <f t="shared" ref="IX36" si="651">SUM(IX29:IX35)</f>
        <v>12.148053710008778</v>
      </c>
      <c r="IZ36" s="33">
        <f t="shared" ref="IZ36" si="652">SUM(IZ29:IZ35)</f>
        <v>6.1999211579618727</v>
      </c>
      <c r="JC36" s="33">
        <f>SUM(JC29:JC35)</f>
        <v>1.4565065075691856</v>
      </c>
    </row>
    <row r="37" spans="1:263" s="30" customFormat="1" x14ac:dyDescent="0.3">
      <c r="A37" s="40" t="s">
        <v>252</v>
      </c>
      <c r="B37" s="30" t="s">
        <v>218</v>
      </c>
      <c r="C37" s="30">
        <v>10</v>
      </c>
      <c r="D37" s="30" t="s">
        <v>216</v>
      </c>
      <c r="E37" s="30">
        <f>40-22</f>
        <v>18</v>
      </c>
      <c r="F37" s="30" t="s">
        <v>216</v>
      </c>
      <c r="G37" s="30">
        <v>6</v>
      </c>
      <c r="H37" s="30">
        <f>32-18</f>
        <v>14</v>
      </c>
      <c r="I37" s="30" t="s">
        <v>216</v>
      </c>
      <c r="J37" s="30">
        <v>3</v>
      </c>
      <c r="K37" s="30">
        <v>15</v>
      </c>
      <c r="L37" s="30">
        <v>5</v>
      </c>
      <c r="N37" s="30">
        <v>22</v>
      </c>
      <c r="O37" s="30" t="s">
        <v>216</v>
      </c>
      <c r="Q37" s="30">
        <v>20</v>
      </c>
      <c r="R37" s="30" t="s">
        <v>216</v>
      </c>
      <c r="T37" s="30">
        <v>10</v>
      </c>
      <c r="U37" s="30">
        <v>11</v>
      </c>
      <c r="V37" s="30" t="s">
        <v>216</v>
      </c>
      <c r="W37" s="30">
        <v>8</v>
      </c>
      <c r="X37" s="30">
        <v>10</v>
      </c>
      <c r="Z37" s="30">
        <v>8</v>
      </c>
      <c r="AA37" s="30">
        <v>15</v>
      </c>
      <c r="AB37" s="30">
        <v>10</v>
      </c>
      <c r="AD37" s="30">
        <v>21</v>
      </c>
      <c r="AE37" s="30">
        <v>5</v>
      </c>
      <c r="AF37" s="30">
        <v>19</v>
      </c>
      <c r="AH37" s="30">
        <v>4</v>
      </c>
      <c r="AI37" s="30">
        <v>15</v>
      </c>
      <c r="AK37" s="30">
        <v>7</v>
      </c>
      <c r="AL37" s="30">
        <v>10</v>
      </c>
      <c r="AN37" s="30">
        <v>5</v>
      </c>
      <c r="AO37" s="30">
        <v>15</v>
      </c>
      <c r="AQ37" s="30">
        <v>4</v>
      </c>
      <c r="AR37" s="30">
        <v>10</v>
      </c>
      <c r="AT37" s="30">
        <v>10</v>
      </c>
      <c r="AU37" s="30">
        <v>10</v>
      </c>
      <c r="AW37" s="30">
        <v>9</v>
      </c>
      <c r="AX37" s="30">
        <v>15</v>
      </c>
      <c r="AZ37" s="30">
        <v>10</v>
      </c>
      <c r="BB37" s="30">
        <v>10</v>
      </c>
      <c r="BD37" s="30">
        <v>20</v>
      </c>
      <c r="BH37" s="30">
        <v>9</v>
      </c>
      <c r="BI37" s="30">
        <v>10</v>
      </c>
      <c r="BJ37" s="30" t="s">
        <v>216</v>
      </c>
      <c r="BK37" s="30">
        <v>7</v>
      </c>
      <c r="BL37" s="30">
        <v>10</v>
      </c>
      <c r="BM37" s="30">
        <v>10</v>
      </c>
      <c r="BN37" s="30" t="s">
        <v>216</v>
      </c>
      <c r="BP37" s="30">
        <v>10</v>
      </c>
      <c r="BQ37" s="30" t="s">
        <v>216</v>
      </c>
      <c r="BR37" s="30">
        <v>11</v>
      </c>
      <c r="BS37" s="30" t="s">
        <v>216</v>
      </c>
      <c r="BU37" s="30">
        <v>10</v>
      </c>
      <c r="BV37" s="30">
        <v>2</v>
      </c>
      <c r="BW37" s="30">
        <v>23</v>
      </c>
      <c r="BY37" s="30">
        <v>10</v>
      </c>
      <c r="CA37" s="30">
        <v>25</v>
      </c>
      <c r="CB37" s="30">
        <v>25</v>
      </c>
      <c r="CD37" s="30">
        <v>8</v>
      </c>
      <c r="CE37" s="30">
        <v>10</v>
      </c>
      <c r="CG37" s="30">
        <v>6</v>
      </c>
      <c r="CH37" s="30">
        <v>21</v>
      </c>
      <c r="CK37" s="30">
        <v>10</v>
      </c>
      <c r="CM37" s="30">
        <v>10</v>
      </c>
      <c r="CO37" s="30">
        <v>9</v>
      </c>
      <c r="CP37" s="30">
        <v>15</v>
      </c>
      <c r="CS37" s="30">
        <v>10</v>
      </c>
      <c r="CU37" s="30">
        <v>10</v>
      </c>
      <c r="CV37" s="30">
        <v>10</v>
      </c>
      <c r="CW37" s="30" t="s">
        <v>216</v>
      </c>
      <c r="CZ37" s="30">
        <f>22</f>
        <v>22</v>
      </c>
      <c r="DA37" s="30" t="s">
        <v>216</v>
      </c>
      <c r="DB37" s="30">
        <f>20</f>
        <v>20</v>
      </c>
      <c r="DC37" s="30" t="s">
        <v>216</v>
      </c>
      <c r="DD37" s="30">
        <v>15</v>
      </c>
      <c r="DE37" s="30" t="s">
        <v>216</v>
      </c>
      <c r="DF37" s="30">
        <v>6</v>
      </c>
      <c r="DG37" s="30">
        <v>10</v>
      </c>
      <c r="DH37" s="30" t="s">
        <v>216</v>
      </c>
      <c r="DI37" s="30">
        <v>10</v>
      </c>
      <c r="DK37" s="30">
        <v>10</v>
      </c>
      <c r="DL37" s="30">
        <v>10</v>
      </c>
      <c r="DM37" s="30">
        <v>10</v>
      </c>
      <c r="DO37" s="30">
        <v>6</v>
      </c>
      <c r="DP37" s="30">
        <v>10</v>
      </c>
      <c r="DR37" s="30">
        <v>4</v>
      </c>
      <c r="DS37" s="30">
        <v>10</v>
      </c>
      <c r="DU37" s="30">
        <v>11</v>
      </c>
      <c r="DV37" s="30">
        <v>15</v>
      </c>
      <c r="DX37" s="30">
        <v>9</v>
      </c>
      <c r="DZ37" s="30">
        <v>10</v>
      </c>
      <c r="EA37" s="30">
        <v>10</v>
      </c>
      <c r="EC37" s="30">
        <v>4</v>
      </c>
      <c r="ED37" s="30">
        <v>7</v>
      </c>
      <c r="EF37" s="30">
        <v>13</v>
      </c>
      <c r="EH37" s="30">
        <v>13</v>
      </c>
      <c r="EL37" s="30" t="s">
        <v>216</v>
      </c>
      <c r="EM37" s="30">
        <v>7</v>
      </c>
      <c r="EN37" s="30">
        <v>21</v>
      </c>
      <c r="EO37" s="30" t="s">
        <v>216</v>
      </c>
      <c r="EP37" s="30">
        <v>11</v>
      </c>
      <c r="EQ37" s="30">
        <v>10</v>
      </c>
      <c r="ES37" s="30">
        <v>7</v>
      </c>
      <c r="ET37" s="30">
        <v>10</v>
      </c>
      <c r="EU37" s="30">
        <v>10</v>
      </c>
      <c r="EW37" s="30">
        <v>5</v>
      </c>
      <c r="EY37" s="30">
        <v>21</v>
      </c>
      <c r="EZ37" s="30" t="s">
        <v>216</v>
      </c>
      <c r="FA37" s="30">
        <v>35</v>
      </c>
      <c r="FC37" s="30">
        <v>10</v>
      </c>
      <c r="FD37" s="30" t="s">
        <v>216</v>
      </c>
      <c r="FE37" s="30">
        <v>17</v>
      </c>
      <c r="FG37" s="30">
        <v>9</v>
      </c>
      <c r="FH37" s="30">
        <v>15</v>
      </c>
      <c r="FI37" s="30">
        <v>10</v>
      </c>
      <c r="FK37" s="30">
        <f>FK17-FJ17</f>
        <v>12</v>
      </c>
      <c r="FM37" s="30">
        <v>23</v>
      </c>
      <c r="FO37" s="30">
        <v>10</v>
      </c>
      <c r="FR37" s="30">
        <v>12</v>
      </c>
      <c r="FS37" s="30" t="s">
        <v>216</v>
      </c>
      <c r="FU37" s="30">
        <v>11</v>
      </c>
      <c r="FV37" s="30">
        <v>10</v>
      </c>
      <c r="FW37" s="30" t="s">
        <v>216</v>
      </c>
      <c r="GR37" s="30">
        <v>13</v>
      </c>
      <c r="GU37" s="30">
        <v>20</v>
      </c>
      <c r="GV37" s="30" t="s">
        <v>216</v>
      </c>
      <c r="HA37" s="30">
        <v>20</v>
      </c>
      <c r="HC37" s="30">
        <v>20</v>
      </c>
      <c r="HE37" s="30">
        <v>20</v>
      </c>
      <c r="HG37" s="30">
        <v>20</v>
      </c>
      <c r="HI37" s="30">
        <v>20</v>
      </c>
      <c r="HK37" s="30">
        <v>20</v>
      </c>
      <c r="HM37" s="30">
        <v>20</v>
      </c>
      <c r="HO37" s="30">
        <v>20</v>
      </c>
      <c r="HQ37" s="30">
        <v>20</v>
      </c>
      <c r="HS37" s="30">
        <v>20</v>
      </c>
      <c r="HU37" s="30">
        <v>20</v>
      </c>
      <c r="HW37" s="30">
        <v>20</v>
      </c>
      <c r="HY37" s="30">
        <v>20</v>
      </c>
      <c r="IA37" s="30">
        <v>20</v>
      </c>
      <c r="IC37" s="30">
        <v>20</v>
      </c>
      <c r="IE37" s="30">
        <v>20</v>
      </c>
      <c r="IG37" s="30">
        <v>20</v>
      </c>
      <c r="II37" s="30">
        <v>20</v>
      </c>
      <c r="IN37" s="30">
        <v>24</v>
      </c>
      <c r="IP37" s="30">
        <v>24</v>
      </c>
      <c r="IR37" s="30">
        <v>24</v>
      </c>
      <c r="IT37" s="30">
        <v>20</v>
      </c>
      <c r="IV37" s="30">
        <f>IV17-IU17</f>
        <v>21</v>
      </c>
      <c r="IX37" s="30">
        <f t="shared" ref="IX37:IZ37" si="653">IX17-IW17</f>
        <v>10</v>
      </c>
      <c r="IZ37" s="30">
        <f t="shared" si="653"/>
        <v>20</v>
      </c>
      <c r="JC37" s="30">
        <v>10</v>
      </c>
    </row>
    <row r="38" spans="1:263" s="33" customFormat="1" x14ac:dyDescent="0.3">
      <c r="A38" s="39" t="s">
        <v>219</v>
      </c>
      <c r="B38" s="33" t="s">
        <v>219</v>
      </c>
      <c r="C38" s="33">
        <f>C36/C37</f>
        <v>1.6280000000000008</v>
      </c>
      <c r="D38" s="33" t="s">
        <v>217</v>
      </c>
      <c r="E38" s="33">
        <f t="shared" ref="E38" si="654">E36/E37</f>
        <v>2.5444444444444438</v>
      </c>
      <c r="F38" s="33" t="s">
        <v>217</v>
      </c>
      <c r="G38" s="33">
        <f t="shared" ref="G38" si="655">G36/G37</f>
        <v>4.1999999999999966</v>
      </c>
      <c r="H38" s="33">
        <f t="shared" ref="H38" si="656">H36/H37</f>
        <v>2.5</v>
      </c>
      <c r="I38" s="33" t="s">
        <v>217</v>
      </c>
      <c r="J38" s="33">
        <f t="shared" ref="J38:L38" si="657">J36/J37</f>
        <v>9.3133333333333397</v>
      </c>
      <c r="K38" s="33">
        <f t="shared" si="657"/>
        <v>3.5959999999999996</v>
      </c>
      <c r="L38" s="33">
        <f t="shared" si="657"/>
        <v>4.295039513798554</v>
      </c>
      <c r="N38" s="33">
        <f t="shared" ref="N38" si="658">N36/N37</f>
        <v>0.354545454545454</v>
      </c>
      <c r="O38" s="33" t="s">
        <v>217</v>
      </c>
      <c r="Q38" s="33">
        <f t="shared" ref="Q38" si="659">Q36/Q37</f>
        <v>3.6</v>
      </c>
      <c r="R38" s="33" t="s">
        <v>217</v>
      </c>
      <c r="T38" s="33">
        <f t="shared" ref="T38" si="660">T36/T37</f>
        <v>0.62599999999999745</v>
      </c>
      <c r="U38" s="33">
        <f>U36/U37</f>
        <v>2.3000000000000025</v>
      </c>
      <c r="V38" s="33" t="s">
        <v>217</v>
      </c>
      <c r="W38" s="33">
        <f t="shared" ref="W38:AB38" si="661">W36/W37</f>
        <v>2.1774999999999984</v>
      </c>
      <c r="X38" s="33">
        <f t="shared" si="661"/>
        <v>3.2810731707317045</v>
      </c>
      <c r="Z38" s="33">
        <f t="shared" si="661"/>
        <v>5.4857558431136537</v>
      </c>
      <c r="AA38" s="33">
        <f t="shared" si="661"/>
        <v>1.0789001460081806</v>
      </c>
      <c r="AB38" s="33">
        <f t="shared" si="661"/>
        <v>3.4326015880710892</v>
      </c>
      <c r="AD38" s="33">
        <f t="shared" ref="AD38:AI38" si="662">AD36/AD37</f>
        <v>0.62160461548785784</v>
      </c>
      <c r="AE38" s="33">
        <f t="shared" si="662"/>
        <v>0.91314142436856893</v>
      </c>
      <c r="AF38" s="33">
        <f t="shared" si="662"/>
        <v>0.52423925185402653</v>
      </c>
      <c r="AH38" s="33">
        <f t="shared" si="662"/>
        <v>8.0999999999999961</v>
      </c>
      <c r="AI38" s="33">
        <f t="shared" si="662"/>
        <v>0.41742327211007579</v>
      </c>
      <c r="AK38" s="33">
        <f t="shared" ref="AK38:AO38" si="663">AK36/AK37</f>
        <v>2.4628571428571404</v>
      </c>
      <c r="AL38" s="33">
        <f t="shared" si="663"/>
        <v>1.4559999999999973</v>
      </c>
      <c r="AN38" s="33">
        <f t="shared" si="663"/>
        <v>13.479535891878104</v>
      </c>
      <c r="AO38" s="33">
        <f t="shared" si="663"/>
        <v>1.1310864606797288</v>
      </c>
      <c r="AQ38" s="33">
        <f t="shared" ref="AQ38:AR38" si="664">AQ36/AQ37</f>
        <v>1.4418495795650221</v>
      </c>
      <c r="AR38" s="33">
        <f t="shared" si="664"/>
        <v>7.9573379695414725E-2</v>
      </c>
      <c r="AT38" s="33">
        <f t="shared" ref="AT38:AU38" si="665">AT36/AT37</f>
        <v>0.45400000000000007</v>
      </c>
      <c r="AU38" s="33">
        <f t="shared" si="665"/>
        <v>2.2201649816823203</v>
      </c>
      <c r="AW38" s="33">
        <f t="shared" ref="AW38:AX38" si="666">AW36/AW37</f>
        <v>1.3296717481790326</v>
      </c>
      <c r="AX38" s="33">
        <f t="shared" si="666"/>
        <v>0.33289717806613017</v>
      </c>
      <c r="AZ38" s="33">
        <f>AZ36/AZ37</f>
        <v>0.72559252446079703</v>
      </c>
      <c r="BB38" s="33">
        <f t="shared" ref="BB38:BD38" si="667">BB36/BB37</f>
        <v>2.2681711953120343</v>
      </c>
      <c r="BD38" s="33">
        <f t="shared" si="667"/>
        <v>5</v>
      </c>
      <c r="BH38" s="33">
        <f t="shared" ref="BH38:BI38" si="668">BH36/BH37</f>
        <v>2.7999999999999989</v>
      </c>
      <c r="BI38" s="33">
        <f t="shared" si="668"/>
        <v>1.86</v>
      </c>
      <c r="BJ38" s="33" t="s">
        <v>217</v>
      </c>
      <c r="BK38" s="33">
        <f t="shared" ref="BK38" si="669">BK36/BK37</f>
        <v>4.7949720489869776</v>
      </c>
      <c r="BL38" s="33">
        <f t="shared" ref="BL38" si="670">BL36/BL37</f>
        <v>3.8490537585764928</v>
      </c>
      <c r="BM38" s="33">
        <f t="shared" ref="BM38" si="671">BM36/BM37</f>
        <v>0.97489255824474097</v>
      </c>
      <c r="BN38" s="33" t="s">
        <v>217</v>
      </c>
      <c r="BP38" s="33">
        <f t="shared" ref="BP38" si="672">BP36/BP37</f>
        <v>1.9445118695082289</v>
      </c>
      <c r="BQ38" s="33" t="s">
        <v>217</v>
      </c>
      <c r="BR38" s="33">
        <f t="shared" ref="BR38" si="673">BR36/BR37</f>
        <v>1.6915713149767944</v>
      </c>
      <c r="BS38" s="33" t="s">
        <v>217</v>
      </c>
      <c r="BU38" s="33">
        <f>BU36/BU37</f>
        <v>3.0776432381932231</v>
      </c>
      <c r="BV38" s="33">
        <f t="shared" ref="BV38:BW38" si="674">BV36/BV37</f>
        <v>3.6695933984495106</v>
      </c>
      <c r="BW38" s="33">
        <f t="shared" si="674"/>
        <v>0.92858552004868566</v>
      </c>
      <c r="BY38" s="33">
        <f t="shared" ref="BY38:CA38" si="675">BY36/BY37</f>
        <v>1.2836826685124259</v>
      </c>
      <c r="CA38" s="33">
        <f t="shared" si="675"/>
        <v>1.5930955479696904</v>
      </c>
      <c r="CB38" s="33">
        <f t="shared" ref="CB38:CO38" si="676">CB36/CB37</f>
        <v>0.79748530403319995</v>
      </c>
      <c r="CD38" s="33">
        <f t="shared" ref="CD38:CE38" si="677">CD36/CD37</f>
        <v>2.6491907453912855</v>
      </c>
      <c r="CE38" s="33">
        <f t="shared" si="677"/>
        <v>0.60547542654952358</v>
      </c>
      <c r="CG38" s="33">
        <f t="shared" ref="CG38:CH38" si="678">CG36/CG37</f>
        <v>3.1909962243044272</v>
      </c>
      <c r="CH38" s="33">
        <f t="shared" si="678"/>
        <v>2.9998839702348641</v>
      </c>
      <c r="CK38" s="33">
        <f t="shared" ref="CK38:CM38" si="679">CK36/CK37</f>
        <v>3.3999999999999718E-2</v>
      </c>
      <c r="CM38" s="33">
        <f t="shared" si="679"/>
        <v>0</v>
      </c>
      <c r="CO38" s="33">
        <f t="shared" si="676"/>
        <v>10.405671100769524</v>
      </c>
      <c r="CP38" s="33">
        <f t="shared" ref="CP38" si="680">CP36/CP37</f>
        <v>1.7128474716185578E-3</v>
      </c>
      <c r="CS38" s="33">
        <f>CS36/CS37</f>
        <v>0.95099198056013368</v>
      </c>
      <c r="CU38" s="33">
        <f t="shared" ref="CU38:CV38" si="681">CU36/CU37</f>
        <v>2.7399999999999998</v>
      </c>
      <c r="CV38" s="33">
        <f t="shared" si="681"/>
        <v>0.4</v>
      </c>
      <c r="CW38" s="33" t="s">
        <v>217</v>
      </c>
      <c r="CZ38" s="33">
        <f t="shared" ref="CZ38" si="682">CZ36/CZ37</f>
        <v>2.1536363636363633</v>
      </c>
      <c r="DA38" s="33" t="s">
        <v>217</v>
      </c>
      <c r="DB38" s="33">
        <f t="shared" ref="DB38" si="683">DB36/DB37</f>
        <v>0.66400000000000003</v>
      </c>
      <c r="DC38" s="33" t="s">
        <v>217</v>
      </c>
      <c r="DD38" s="33">
        <f>DD36/DD37</f>
        <v>2.5564301162073853</v>
      </c>
      <c r="DE38" s="33" t="s">
        <v>217</v>
      </c>
      <c r="DF38" s="33">
        <f>DF36/DF37</f>
        <v>5.1714048570183158</v>
      </c>
      <c r="DG38" s="33">
        <f>DG36/DG37</f>
        <v>5.7032047722265036</v>
      </c>
      <c r="DH38" s="33" t="s">
        <v>217</v>
      </c>
      <c r="DI38" s="33">
        <f t="shared" ref="DI38:DL38" si="684">DI36/DI37</f>
        <v>4.1605744301306213</v>
      </c>
      <c r="DK38" s="33">
        <f t="shared" si="684"/>
        <v>2.3042420574886551</v>
      </c>
      <c r="DL38" s="33">
        <f t="shared" si="684"/>
        <v>0.59705900151285662</v>
      </c>
      <c r="DM38" s="33">
        <f t="shared" ref="DM38:DU38" si="685">DM36/DM37</f>
        <v>0.84602118003025661</v>
      </c>
      <c r="DO38" s="33">
        <f t="shared" si="685"/>
        <v>3.3333333333333339</v>
      </c>
      <c r="DP38" s="33">
        <f t="shared" si="685"/>
        <v>3.7522724207687133</v>
      </c>
      <c r="DR38" s="33">
        <f t="shared" ref="DR38" si="686">DR36/DR37</f>
        <v>0.49426686865230968</v>
      </c>
      <c r="DS38" s="33">
        <f t="shared" si="685"/>
        <v>0.20000000000000107</v>
      </c>
      <c r="DU38" s="33">
        <f t="shared" si="685"/>
        <v>4.007272727272726</v>
      </c>
      <c r="DV38" s="33">
        <f>DV36/DV37</f>
        <v>0.31524558769559391</v>
      </c>
      <c r="DX38" s="33">
        <f t="shared" ref="DX38" si="687">DX36/DX37</f>
        <v>0.19999999999999984</v>
      </c>
      <c r="DZ38" s="33">
        <f t="shared" ref="DZ38" si="688">DZ36/DZ37</f>
        <v>0.99648768586872016</v>
      </c>
      <c r="EA38" s="33">
        <f t="shared" ref="EA38" si="689">EA36/EA37</f>
        <v>0.63936736281994699</v>
      </c>
      <c r="EC38" s="33">
        <f t="shared" ref="EC38" si="690">EC36/EC37</f>
        <v>3.2126865297946896</v>
      </c>
      <c r="ED38" s="33">
        <f t="shared" ref="ED38" si="691">ED36/ED37</f>
        <v>1.1533371485800146</v>
      </c>
      <c r="EF38" s="33">
        <f t="shared" ref="EF38:EH38" si="692">EF36/EF37</f>
        <v>1.1615384615384603</v>
      </c>
      <c r="EH38" s="33">
        <f t="shared" si="692"/>
        <v>0.50615384615384718</v>
      </c>
      <c r="EL38" s="33" t="s">
        <v>217</v>
      </c>
      <c r="EM38" s="33">
        <f t="shared" ref="EM38" si="693">EM36/EM37</f>
        <v>7.3509736123748866</v>
      </c>
      <c r="EN38" s="33">
        <f t="shared" ref="EN38" si="694">EN36/EN37</f>
        <v>0.58857142857142919</v>
      </c>
      <c r="EO38" s="33" t="s">
        <v>217</v>
      </c>
      <c r="EP38" s="33">
        <f t="shared" ref="EP38" si="695">EP36/EP37</f>
        <v>4.7472855597586445</v>
      </c>
      <c r="EQ38" s="33">
        <f t="shared" ref="EQ38:EY38" si="696">EQ36/EQ37</f>
        <v>7.2805860805860805</v>
      </c>
      <c r="ES38" s="33">
        <f t="shared" si="696"/>
        <v>2.5714285714285707</v>
      </c>
      <c r="ET38" s="33">
        <f t="shared" si="696"/>
        <v>0.62399999999999989</v>
      </c>
      <c r="EU38" s="33">
        <f t="shared" si="696"/>
        <v>2.9059999999999984</v>
      </c>
      <c r="EW38" s="33">
        <f t="shared" si="696"/>
        <v>1.9327994840954255</v>
      </c>
      <c r="EY38" s="33">
        <f t="shared" si="696"/>
        <v>3.1450450335897591</v>
      </c>
      <c r="EZ38" s="33" t="s">
        <v>217</v>
      </c>
      <c r="FA38" s="33">
        <f t="shared" ref="FA38:FC38" si="697">FA36/FA37</f>
        <v>0</v>
      </c>
      <c r="FC38" s="33">
        <f t="shared" si="697"/>
        <v>0.99199999999999999</v>
      </c>
      <c r="FD38" s="33" t="s">
        <v>217</v>
      </c>
      <c r="FE38" s="33">
        <f>FE36/FE37</f>
        <v>0.4622926810180501</v>
      </c>
      <c r="FG38" s="33">
        <f t="shared" ref="FG38:FI38" si="698">FG36/FG37</f>
        <v>1.3226103847946402</v>
      </c>
      <c r="FH38" s="33">
        <f t="shared" si="698"/>
        <v>1.0056506788930841</v>
      </c>
      <c r="FI38" s="33">
        <f t="shared" si="698"/>
        <v>1.0318984247942393</v>
      </c>
      <c r="FK38" s="33">
        <f t="shared" ref="FJ38:FK38" si="699">FK36/FK37</f>
        <v>2.7665562792873799</v>
      </c>
      <c r="FM38" s="33">
        <f t="shared" ref="FM38:FO38" si="700">FM36/FM37</f>
        <v>1.1053710591642878</v>
      </c>
      <c r="FO38" s="33">
        <f t="shared" si="700"/>
        <v>7.32</v>
      </c>
      <c r="FR38" s="33">
        <f>FR36/FR37</f>
        <v>18.955505627198296</v>
      </c>
      <c r="FS38" s="33" t="s">
        <v>217</v>
      </c>
      <c r="FU38" s="33">
        <f t="shared" ref="FU38:FV38" si="701">FU36/FU37</f>
        <v>1.3763526438406477</v>
      </c>
      <c r="FV38" s="33">
        <f t="shared" si="701"/>
        <v>1.2897204568685834</v>
      </c>
      <c r="FW38" s="33" t="s">
        <v>217</v>
      </c>
      <c r="GR38" s="33">
        <f t="shared" ref="GR38" si="702">GR36/GR37</f>
        <v>1.6071375127284067</v>
      </c>
      <c r="GU38" s="33">
        <f t="shared" ref="GU38" si="703">GU36/GU37</f>
        <v>1.65441036379815</v>
      </c>
      <c r="GV38" s="33" t="s">
        <v>217</v>
      </c>
      <c r="HA38" s="33">
        <f>HA36/HA37</f>
        <v>0.87799999999999989</v>
      </c>
      <c r="HC38" s="33">
        <f t="shared" ref="HC38" si="704">HC36/HC37</f>
        <v>2.4009999999999994</v>
      </c>
      <c r="HE38" s="33">
        <f t="shared" ref="HE38" si="705">HE36/HE37</f>
        <v>1.353</v>
      </c>
      <c r="HG38" s="33">
        <f t="shared" ref="HG38" si="706">HG36/HG37</f>
        <v>0.60399999999999976</v>
      </c>
      <c r="HI38" s="33">
        <f t="shared" ref="HI38" si="707">HI36/HI37</f>
        <v>0.40500000000000042</v>
      </c>
      <c r="HK38" s="33">
        <f t="shared" ref="HK38" si="708">HK36/HK37</f>
        <v>3.2089999999999987</v>
      </c>
      <c r="HM38" s="33">
        <f t="shared" ref="HM38" si="709">HM36/HM37</f>
        <v>2.0430000000000001</v>
      </c>
      <c r="HO38" s="33">
        <f t="shared" ref="HO38" si="710">HO36/HO37</f>
        <v>2.1949000000000005</v>
      </c>
      <c r="HQ38" s="33">
        <f t="shared" ref="HQ38" si="711">HQ36/HQ37</f>
        <v>2.5840000000000005</v>
      </c>
      <c r="HS38" s="33">
        <f t="shared" ref="HS38" si="712">HS36/HS37</f>
        <v>0.75200000000000022</v>
      </c>
      <c r="HU38" s="33">
        <f t="shared" ref="HU38" si="713">HU36/HU37</f>
        <v>1.6548999999999996</v>
      </c>
      <c r="HW38" s="33">
        <f t="shared" ref="HW38" si="714">HW36/HW37</f>
        <v>1.2289999999999994</v>
      </c>
      <c r="HY38" s="33">
        <f t="shared" ref="HY38" si="715">HY36/HY37</f>
        <v>0.56799999999999984</v>
      </c>
      <c r="IA38" s="33">
        <f t="shared" ref="IA38" si="716">IA36/IA37</f>
        <v>1.891</v>
      </c>
      <c r="IC38" s="33">
        <f t="shared" ref="IC38" si="717">IC36/IC37</f>
        <v>1.7669999999999999</v>
      </c>
      <c r="IE38" s="33">
        <f t="shared" ref="IE38" si="718">IE36/IE37</f>
        <v>4.4739999999999993</v>
      </c>
      <c r="IG38" s="33">
        <f t="shared" ref="IG38" si="719">IG36/IG37</f>
        <v>0.50900000000000067</v>
      </c>
      <c r="II38" s="33">
        <f t="shared" ref="II38" si="720">II36/II37</f>
        <v>0.2030000000000009</v>
      </c>
      <c r="IN38" s="33">
        <f t="shared" ref="IN38" si="721">IN36/IN37</f>
        <v>2.5750000000000006</v>
      </c>
      <c r="IP38" s="33">
        <f t="shared" ref="IP38" si="722">IP36/IP37</f>
        <v>0.82416666666666671</v>
      </c>
      <c r="IR38" s="33">
        <f t="shared" ref="IR38" si="723">IR36/IR37</f>
        <v>0.8566666666666668</v>
      </c>
      <c r="IT38" s="33">
        <f t="shared" ref="IT38" si="724">IT36/IT37</f>
        <v>2.9708965313310742E-2</v>
      </c>
      <c r="IV38" s="33">
        <f t="shared" ref="IV38" si="725">IV36/IV37</f>
        <v>3.3333333333333479E-2</v>
      </c>
      <c r="IX38" s="33">
        <f t="shared" ref="IX38" si="726">IX36/IX37</f>
        <v>1.2148053710008777</v>
      </c>
      <c r="IZ38" s="33">
        <f t="shared" ref="IZ38" si="727">IZ36/IZ37</f>
        <v>0.30999605789809365</v>
      </c>
      <c r="JC38" s="33">
        <f t="shared" ref="JC38" si="728">JC36/JC37</f>
        <v>0.14565065075691858</v>
      </c>
    </row>
    <row r="39" spans="1:263" s="33" customFormat="1" x14ac:dyDescent="0.3">
      <c r="A39" s="21" t="s">
        <v>256</v>
      </c>
      <c r="C39" s="33" t="s">
        <v>266</v>
      </c>
      <c r="E39" s="33" t="s">
        <v>268</v>
      </c>
      <c r="J39" s="33" t="s">
        <v>271</v>
      </c>
      <c r="N39" s="33" t="s">
        <v>273</v>
      </c>
      <c r="Q39" s="33" t="s">
        <v>276</v>
      </c>
      <c r="T39" s="33" t="s">
        <v>281</v>
      </c>
      <c r="U39" s="33" t="s">
        <v>282</v>
      </c>
      <c r="W39" s="33" t="s">
        <v>291</v>
      </c>
      <c r="AE39" s="33" t="s">
        <v>284</v>
      </c>
      <c r="AI39" s="33" t="s">
        <v>286</v>
      </c>
      <c r="BU39" s="33" t="s">
        <v>296</v>
      </c>
      <c r="CK39" s="33" t="s">
        <v>287</v>
      </c>
      <c r="DB39" s="33" t="s">
        <v>293</v>
      </c>
      <c r="DF39" s="33" t="s">
        <v>286</v>
      </c>
    </row>
    <row r="40" spans="1:263" x14ac:dyDescent="0.3">
      <c r="A40" s="21" t="s">
        <v>257</v>
      </c>
      <c r="C40" t="s">
        <v>267</v>
      </c>
      <c r="E40" t="s">
        <v>269</v>
      </c>
      <c r="J40" t="s">
        <v>270</v>
      </c>
      <c r="N40" t="s">
        <v>272</v>
      </c>
      <c r="Q40" t="s">
        <v>278</v>
      </c>
      <c r="T40" t="s">
        <v>279</v>
      </c>
      <c r="U40" t="s">
        <v>280</v>
      </c>
      <c r="W40" t="s">
        <v>270</v>
      </c>
      <c r="AE40" t="s">
        <v>285</v>
      </c>
      <c r="AI40" t="s">
        <v>270</v>
      </c>
      <c r="BU40" t="s">
        <v>270</v>
      </c>
      <c r="CK40" t="s">
        <v>288</v>
      </c>
      <c r="DB40" t="s">
        <v>292</v>
      </c>
      <c r="DF40" t="s">
        <v>270</v>
      </c>
      <c r="DL40" t="s">
        <v>95</v>
      </c>
    </row>
    <row r="41" spans="1:263" x14ac:dyDescent="0.3">
      <c r="A41" s="21" t="s">
        <v>254</v>
      </c>
      <c r="C41">
        <v>0</v>
      </c>
      <c r="E41">
        <v>1</v>
      </c>
      <c r="G41">
        <v>1</v>
      </c>
      <c r="J41">
        <v>1</v>
      </c>
      <c r="N41">
        <v>1</v>
      </c>
      <c r="Q41">
        <v>1</v>
      </c>
      <c r="T41">
        <v>1</v>
      </c>
      <c r="W41">
        <v>1</v>
      </c>
      <c r="AA41">
        <v>1</v>
      </c>
      <c r="AE41">
        <v>2</v>
      </c>
      <c r="AI41">
        <v>1</v>
      </c>
      <c r="AN41">
        <v>2</v>
      </c>
      <c r="AP41">
        <v>2</v>
      </c>
      <c r="AT41">
        <v>2</v>
      </c>
      <c r="AW41">
        <v>2</v>
      </c>
      <c r="AZ41">
        <v>2</v>
      </c>
      <c r="BH41">
        <v>2</v>
      </c>
      <c r="BL41">
        <v>2</v>
      </c>
      <c r="BO41">
        <v>1</v>
      </c>
      <c r="BR41">
        <v>1</v>
      </c>
      <c r="BU41">
        <v>2</v>
      </c>
      <c r="BY41">
        <v>2</v>
      </c>
      <c r="CD41">
        <v>2</v>
      </c>
      <c r="CG41">
        <v>2</v>
      </c>
      <c r="CK41">
        <v>2</v>
      </c>
      <c r="CM41">
        <v>2</v>
      </c>
      <c r="CO41">
        <v>3</v>
      </c>
      <c r="CR41">
        <v>2</v>
      </c>
      <c r="CU41">
        <v>2</v>
      </c>
      <c r="CZ41">
        <v>1</v>
      </c>
      <c r="DB41">
        <v>1</v>
      </c>
      <c r="DF41">
        <v>1</v>
      </c>
      <c r="DK41">
        <v>1</v>
      </c>
      <c r="DO41">
        <v>1</v>
      </c>
      <c r="DR41">
        <v>1</v>
      </c>
      <c r="DU41">
        <v>2</v>
      </c>
      <c r="DX41">
        <v>2</v>
      </c>
      <c r="DZ41">
        <v>2</v>
      </c>
      <c r="EC41">
        <v>2</v>
      </c>
      <c r="EF41">
        <v>2</v>
      </c>
      <c r="EH41">
        <v>2</v>
      </c>
      <c r="EM41">
        <v>2</v>
      </c>
      <c r="EP41">
        <v>1</v>
      </c>
      <c r="ET41">
        <v>1</v>
      </c>
      <c r="EW41">
        <v>1</v>
      </c>
      <c r="EZ41">
        <v>2</v>
      </c>
      <c r="FE41">
        <v>2</v>
      </c>
      <c r="FH41">
        <v>2</v>
      </c>
      <c r="FR41">
        <v>2</v>
      </c>
      <c r="FU41">
        <v>2</v>
      </c>
      <c r="FX41">
        <v>2</v>
      </c>
      <c r="FZ41">
        <v>4</v>
      </c>
      <c r="GR41">
        <v>3</v>
      </c>
      <c r="GU41">
        <v>4</v>
      </c>
    </row>
    <row r="42" spans="1:263" x14ac:dyDescent="0.3">
      <c r="A42" s="21" t="s">
        <v>255</v>
      </c>
      <c r="C42">
        <v>0</v>
      </c>
      <c r="E42">
        <v>3</v>
      </c>
      <c r="G42">
        <v>1</v>
      </c>
      <c r="J42">
        <v>1</v>
      </c>
      <c r="N42">
        <v>2</v>
      </c>
      <c r="Q42">
        <v>1</v>
      </c>
      <c r="T42">
        <v>1</v>
      </c>
      <c r="W42">
        <v>1</v>
      </c>
      <c r="AA42">
        <v>1</v>
      </c>
      <c r="AE42">
        <v>2</v>
      </c>
      <c r="AI42">
        <v>1</v>
      </c>
      <c r="AN42">
        <v>2</v>
      </c>
      <c r="AP42">
        <v>2</v>
      </c>
      <c r="AT42">
        <v>1</v>
      </c>
      <c r="AW42">
        <v>2</v>
      </c>
      <c r="AZ42">
        <v>2</v>
      </c>
      <c r="BH42">
        <v>1</v>
      </c>
      <c r="BL42">
        <v>1</v>
      </c>
      <c r="BO42">
        <v>2</v>
      </c>
      <c r="BR42">
        <v>1</v>
      </c>
      <c r="BU42">
        <v>1</v>
      </c>
      <c r="BY42">
        <v>2</v>
      </c>
      <c r="CD42">
        <v>2</v>
      </c>
      <c r="CG42">
        <v>1</v>
      </c>
      <c r="CK42">
        <v>1</v>
      </c>
      <c r="CM42">
        <v>1</v>
      </c>
      <c r="CO42">
        <v>0</v>
      </c>
      <c r="CR42">
        <v>2</v>
      </c>
      <c r="CU42">
        <v>2</v>
      </c>
      <c r="CZ42">
        <v>1</v>
      </c>
      <c r="DB42">
        <v>2</v>
      </c>
      <c r="DF42">
        <v>1</v>
      </c>
      <c r="DK42">
        <v>1</v>
      </c>
      <c r="DO42">
        <v>0</v>
      </c>
      <c r="DR42">
        <v>2</v>
      </c>
      <c r="DU42">
        <v>1</v>
      </c>
      <c r="DX42">
        <v>1</v>
      </c>
      <c r="DZ42">
        <v>2</v>
      </c>
      <c r="EC42">
        <v>1</v>
      </c>
      <c r="EF42">
        <v>1</v>
      </c>
      <c r="EH42">
        <v>0</v>
      </c>
      <c r="EM42">
        <v>2</v>
      </c>
      <c r="EP42">
        <v>2</v>
      </c>
      <c r="ET42">
        <v>2</v>
      </c>
      <c r="EW42">
        <v>0</v>
      </c>
      <c r="EZ42">
        <v>0</v>
      </c>
      <c r="FE42">
        <v>1</v>
      </c>
      <c r="FH42">
        <v>1</v>
      </c>
      <c r="FR42">
        <v>1</v>
      </c>
      <c r="FU42">
        <v>0</v>
      </c>
      <c r="FX42">
        <v>1</v>
      </c>
      <c r="FZ42">
        <v>0</v>
      </c>
      <c r="GR42">
        <v>2</v>
      </c>
      <c r="GU42">
        <v>1</v>
      </c>
      <c r="HA42">
        <v>3</v>
      </c>
      <c r="HC42">
        <v>3</v>
      </c>
      <c r="HE42">
        <v>3</v>
      </c>
      <c r="HG42">
        <v>3</v>
      </c>
      <c r="HI42">
        <v>3</v>
      </c>
      <c r="HK42">
        <v>2</v>
      </c>
      <c r="HM42">
        <v>2</v>
      </c>
      <c r="HO42">
        <v>2</v>
      </c>
      <c r="HQ42">
        <v>1</v>
      </c>
      <c r="HS42">
        <v>2</v>
      </c>
      <c r="HU42">
        <v>3</v>
      </c>
      <c r="HW42">
        <v>2</v>
      </c>
      <c r="HY42">
        <v>2</v>
      </c>
      <c r="IA42">
        <v>2</v>
      </c>
      <c r="IC42">
        <v>3</v>
      </c>
      <c r="IE42">
        <v>2</v>
      </c>
      <c r="IG42">
        <v>3</v>
      </c>
      <c r="II42">
        <v>3</v>
      </c>
    </row>
    <row r="43" spans="1:263" x14ac:dyDescent="0.3">
      <c r="A43" s="21" t="s">
        <v>262</v>
      </c>
      <c r="C43" s="30">
        <f>C15-B15</f>
        <v>461232</v>
      </c>
      <c r="J43" s="30">
        <f>(K15-J15)/K37/J15*100</f>
        <v>14.085519922254615</v>
      </c>
      <c r="K43" t="s">
        <v>215</v>
      </c>
      <c r="N43" s="30">
        <f>(N15-M15)/N37/M15*100</f>
        <v>3.6593370528388576</v>
      </c>
      <c r="O43" s="30"/>
      <c r="P43" s="30"/>
      <c r="Q43" s="30"/>
      <c r="R43" s="30"/>
      <c r="S43" s="30"/>
      <c r="T43" s="30">
        <f>(T15-S15)/T37/S15*100</f>
        <v>2.2104690316655895</v>
      </c>
      <c r="U43" s="30">
        <f>(U15-S15)/U37/T15*100</f>
        <v>2.4307419599898705</v>
      </c>
      <c r="V43" s="30"/>
      <c r="W43" s="30">
        <f>(W15-V15)/W37/V15*100</f>
        <v>3.4012060135470015</v>
      </c>
      <c r="X43" s="30"/>
      <c r="Y43" s="30"/>
      <c r="Z43" s="30"/>
      <c r="AA43" s="30">
        <f t="shared" ref="AA43" si="729">(AA15-Y15)/AA37/Z15*100</f>
        <v>6.7528619528619522</v>
      </c>
      <c r="AB43" s="30"/>
      <c r="AC43" s="30"/>
      <c r="AD43" s="30"/>
      <c r="AE43" s="30">
        <f>(AE15-AC15)/AE37/AD15*100</f>
        <v>3.3220338983050843</v>
      </c>
      <c r="AF43" s="30"/>
      <c r="AG43" s="30"/>
      <c r="AH43" s="30"/>
      <c r="AI43" s="30">
        <f>(AI15-AH15)/AI37/AH15*100</f>
        <v>2.0040700040700039</v>
      </c>
      <c r="BU43" s="30">
        <f>(BU15-BT15)/BU37/BT15*100</f>
        <v>1.6793248945147679</v>
      </c>
      <c r="CK43" s="30">
        <f>(CK15-CJ15)/CK37/CJ15*100</f>
        <v>2.5517241379310347</v>
      </c>
      <c r="DB43" s="30">
        <f>(DB15-DA15)/DB37/DA15*100</f>
        <v>26.375897705377476</v>
      </c>
      <c r="DF43" s="30">
        <f>(DF15-DE15)/DF37/DE15*100</f>
        <v>239.12655971479504</v>
      </c>
      <c r="DK43" s="30"/>
      <c r="DO43" s="30">
        <f>(DO15-DN15)/DO37/DN15*100</f>
        <v>8.0858085808580871</v>
      </c>
      <c r="DP43" s="30">
        <f>(DP15-DO15)/DP37/DO15*100</f>
        <v>48.85</v>
      </c>
      <c r="ET43" s="30">
        <f>(ET15-ES15)/ET37/ES15*100</f>
        <v>16.436621678029777</v>
      </c>
    </row>
    <row r="44" spans="1:263" x14ac:dyDescent="0.3">
      <c r="A44" s="21" t="s">
        <v>263</v>
      </c>
      <c r="C44">
        <f>C16-B16</f>
        <v>3083.2399999999907</v>
      </c>
      <c r="J44">
        <f>K16-J16</f>
        <v>1409.9</v>
      </c>
      <c r="N44">
        <f>N16-M16</f>
        <v>-128</v>
      </c>
      <c r="Q44">
        <v>0</v>
      </c>
      <c r="U44">
        <v>0</v>
      </c>
      <c r="W44">
        <v>0</v>
      </c>
      <c r="AE44" s="33">
        <f>AE16-AD16</f>
        <v>-0.4500000000007276</v>
      </c>
      <c r="AI44">
        <v>0</v>
      </c>
      <c r="BU44">
        <v>0</v>
      </c>
      <c r="CK44">
        <v>0</v>
      </c>
      <c r="DB44">
        <v>0</v>
      </c>
      <c r="DF44">
        <v>0</v>
      </c>
      <c r="DO44">
        <v>0</v>
      </c>
      <c r="DP44">
        <v>0</v>
      </c>
      <c r="ET44">
        <v>0</v>
      </c>
    </row>
    <row r="45" spans="1:263" x14ac:dyDescent="0.3">
      <c r="AZ45" t="s">
        <v>295</v>
      </c>
    </row>
    <row r="46" spans="1:263" x14ac:dyDescent="0.3">
      <c r="A46" s="21" t="s">
        <v>264</v>
      </c>
      <c r="C46" t="s">
        <v>265</v>
      </c>
      <c r="E46" t="s">
        <v>275</v>
      </c>
      <c r="J46" t="s">
        <v>275</v>
      </c>
      <c r="N46" t="s">
        <v>274</v>
      </c>
      <c r="Q46" t="s">
        <v>290</v>
      </c>
      <c r="U46" t="s">
        <v>283</v>
      </c>
      <c r="W46" t="s">
        <v>283</v>
      </c>
      <c r="AE46" t="s">
        <v>277</v>
      </c>
      <c r="AI46" t="s">
        <v>277</v>
      </c>
      <c r="BU46" t="s">
        <v>297</v>
      </c>
      <c r="CK46" t="s">
        <v>289</v>
      </c>
      <c r="DO46" t="s">
        <v>294</v>
      </c>
    </row>
  </sheetData>
  <mergeCells count="3">
    <mergeCell ref="B13:C13"/>
    <mergeCell ref="I13:J13"/>
    <mergeCell ref="M13:N13"/>
  </mergeCells>
  <conditionalFormatting sqref="DB38:DD39">
    <cfRule type="colorScale" priority="7">
      <colorScale>
        <cfvo type="min"/>
        <cfvo type="max"/>
        <color rgb="FFFCFCFF"/>
        <color rgb="FF63BE7B"/>
      </colorScale>
    </cfRule>
  </conditionalFormatting>
  <conditionalFormatting sqref="DE38:DE39">
    <cfRule type="colorScale" priority="6">
      <colorScale>
        <cfvo type="min"/>
        <cfvo type="max"/>
        <color rgb="FFFCFCFF"/>
        <color rgb="FF63BE7B"/>
      </colorScale>
    </cfRule>
  </conditionalFormatting>
  <conditionalFormatting sqref="DH38:DH39">
    <cfRule type="colorScale" priority="5">
      <colorScale>
        <cfvo type="min"/>
        <cfvo type="max"/>
        <color rgb="FFFCFCFF"/>
        <color rgb="FF63BE7B"/>
      </colorScale>
    </cfRule>
  </conditionalFormatting>
  <conditionalFormatting sqref="EL38:EL39">
    <cfRule type="colorScale" priority="4">
      <colorScale>
        <cfvo type="min"/>
        <cfvo type="max"/>
        <color rgb="FFFCFCFF"/>
        <color rgb="FF63BE7B"/>
      </colorScale>
    </cfRule>
  </conditionalFormatting>
  <conditionalFormatting sqref="GT38:GU39 DF38:DG39 DI38:EK39 FP38:FP39 CX38:DA39 C38:CP39 EM38:FE39">
    <cfRule type="colorScale" priority="107">
      <colorScale>
        <cfvo type="min"/>
        <cfvo type="max"/>
        <color rgb="FFFCFCFF"/>
        <color rgb="FF63BE7B"/>
      </colorScale>
    </cfRule>
  </conditionalFormatting>
  <conditionalFormatting sqref="CQ38:CW39">
    <cfRule type="colorScale" priority="2">
      <colorScale>
        <cfvo type="min"/>
        <cfvo type="max"/>
        <color rgb="FFFCFCFF"/>
        <color rgb="FF63BE7B"/>
      </colorScale>
    </cfRule>
  </conditionalFormatting>
  <conditionalFormatting sqref="FF38:FO39">
    <cfRule type="colorScale" priority="10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295A-9827-4B53-B112-CE1DE271EDE6}">
  <dimension ref="A1:AV80"/>
  <sheetViews>
    <sheetView topLeftCell="A40" zoomScale="70" zoomScaleNormal="70" workbookViewId="0">
      <pane xSplit="1" topLeftCell="B1" activePane="topRight" state="frozen"/>
      <selection pane="topRight" activeCell="A18" sqref="A18:A26"/>
    </sheetView>
  </sheetViews>
  <sheetFormatPr defaultRowHeight="16.5" x14ac:dyDescent="0.3"/>
  <cols>
    <col min="1" max="2" width="21.625" customWidth="1"/>
    <col min="3" max="67" width="10.625" customWidth="1"/>
  </cols>
  <sheetData>
    <row r="1" spans="1:48" x14ac:dyDescent="0.3">
      <c r="H1" s="47" t="s">
        <v>147</v>
      </c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25"/>
      <c r="AC1" s="47" t="s">
        <v>148</v>
      </c>
      <c r="AD1" s="47"/>
      <c r="AE1" s="47"/>
      <c r="AF1" s="47"/>
      <c r="AG1" s="47"/>
      <c r="AH1" s="47"/>
      <c r="AI1" s="47"/>
      <c r="AJ1" s="47"/>
      <c r="AK1" s="47"/>
      <c r="AL1" s="47"/>
      <c r="AM1" s="47"/>
    </row>
    <row r="2" spans="1:48" ht="18.75" customHeight="1" x14ac:dyDescent="0.3">
      <c r="C2" s="47" t="s">
        <v>10</v>
      </c>
      <c r="D2" s="47"/>
      <c r="E2" s="47"/>
      <c r="F2" s="47"/>
      <c r="H2" s="47" t="s">
        <v>0</v>
      </c>
      <c r="I2" s="47"/>
      <c r="J2" s="47"/>
      <c r="K2" s="47"/>
      <c r="L2" s="47" t="s">
        <v>1</v>
      </c>
      <c r="M2" s="47"/>
      <c r="N2" s="47"/>
      <c r="O2" s="25"/>
      <c r="P2" s="47" t="s">
        <v>2</v>
      </c>
      <c r="Q2" s="47"/>
      <c r="R2" s="47"/>
      <c r="S2" s="25"/>
      <c r="T2" s="47" t="s">
        <v>68</v>
      </c>
      <c r="U2" s="47"/>
      <c r="V2" s="47"/>
      <c r="W2" s="25"/>
      <c r="X2" s="47" t="s">
        <v>122</v>
      </c>
      <c r="Y2" s="47"/>
      <c r="Z2" s="47"/>
      <c r="AA2" s="25"/>
      <c r="AC2" s="47" t="s">
        <v>7</v>
      </c>
      <c r="AD2" s="47"/>
      <c r="AE2" s="47"/>
      <c r="AF2" s="25"/>
      <c r="AG2" s="47" t="s">
        <v>4</v>
      </c>
      <c r="AH2" s="47"/>
      <c r="AI2" s="47"/>
      <c r="AJ2" s="25"/>
      <c r="AK2" s="47" t="s">
        <v>5</v>
      </c>
      <c r="AL2" s="47"/>
      <c r="AM2" s="47"/>
      <c r="AO2" s="47" t="s">
        <v>8</v>
      </c>
      <c r="AP2" s="47"/>
      <c r="AQ2" s="47"/>
      <c r="AS2" s="47" t="s">
        <v>6</v>
      </c>
      <c r="AT2" s="47"/>
      <c r="AU2" s="47"/>
    </row>
    <row r="3" spans="1:48" ht="28.5" x14ac:dyDescent="0.3">
      <c r="C3" s="28" t="s">
        <v>144</v>
      </c>
      <c r="D3" s="29" t="s">
        <v>146</v>
      </c>
      <c r="E3" s="28" t="s">
        <v>145</v>
      </c>
      <c r="F3" s="28" t="s">
        <v>151</v>
      </c>
      <c r="G3" s="28"/>
      <c r="H3" s="28" t="s">
        <v>144</v>
      </c>
      <c r="I3" s="29" t="s">
        <v>149</v>
      </c>
      <c r="J3" s="28" t="s">
        <v>145</v>
      </c>
      <c r="K3" s="28" t="s">
        <v>152</v>
      </c>
      <c r="L3" s="28" t="s">
        <v>144</v>
      </c>
      <c r="M3" s="29" t="s">
        <v>149</v>
      </c>
      <c r="N3" s="28" t="s">
        <v>145</v>
      </c>
      <c r="O3" s="28" t="s">
        <v>152</v>
      </c>
      <c r="P3" s="28" t="s">
        <v>144</v>
      </c>
      <c r="Q3" s="29" t="s">
        <v>149</v>
      </c>
      <c r="R3" s="28" t="s">
        <v>145</v>
      </c>
      <c r="S3" s="28" t="s">
        <v>152</v>
      </c>
      <c r="T3" s="28" t="s">
        <v>144</v>
      </c>
      <c r="U3" s="29" t="s">
        <v>149</v>
      </c>
      <c r="V3" s="28" t="s">
        <v>145</v>
      </c>
      <c r="W3" s="28" t="s">
        <v>152</v>
      </c>
      <c r="X3" s="28" t="s">
        <v>144</v>
      </c>
      <c r="Y3" s="29" t="s">
        <v>149</v>
      </c>
      <c r="Z3" s="28" t="s">
        <v>145</v>
      </c>
      <c r="AA3" s="28" t="s">
        <v>152</v>
      </c>
      <c r="AC3" s="28" t="s">
        <v>144</v>
      </c>
      <c r="AD3" s="29" t="s">
        <v>149</v>
      </c>
      <c r="AE3" s="28" t="s">
        <v>145</v>
      </c>
      <c r="AF3" s="28" t="s">
        <v>152</v>
      </c>
      <c r="AG3" s="28" t="s">
        <v>144</v>
      </c>
      <c r="AH3" s="29" t="s">
        <v>149</v>
      </c>
      <c r="AI3" s="28" t="s">
        <v>145</v>
      </c>
      <c r="AJ3" s="28" t="s">
        <v>152</v>
      </c>
      <c r="AK3" s="28" t="s">
        <v>144</v>
      </c>
      <c r="AL3" s="29" t="s">
        <v>149</v>
      </c>
      <c r="AM3" s="28" t="s">
        <v>145</v>
      </c>
      <c r="AN3" s="28" t="s">
        <v>152</v>
      </c>
      <c r="AO3" s="28" t="s">
        <v>144</v>
      </c>
      <c r="AP3" s="29" t="s">
        <v>159</v>
      </c>
      <c r="AQ3" s="28" t="s">
        <v>145</v>
      </c>
      <c r="AR3" s="28" t="s">
        <v>152</v>
      </c>
      <c r="AS3" s="28" t="s">
        <v>144</v>
      </c>
      <c r="AT3" s="29" t="s">
        <v>149</v>
      </c>
      <c r="AU3" s="28" t="s">
        <v>145</v>
      </c>
      <c r="AV3" s="28" t="s">
        <v>152</v>
      </c>
    </row>
    <row r="4" spans="1:48" x14ac:dyDescent="0.3">
      <c r="A4" s="26" t="s">
        <v>69</v>
      </c>
      <c r="B4" s="26"/>
      <c r="C4">
        <v>30</v>
      </c>
      <c r="D4">
        <v>30</v>
      </c>
      <c r="E4">
        <f>C4-D4</f>
        <v>0</v>
      </c>
      <c r="F4">
        <f>(E4*E4)^(0.5)</f>
        <v>0</v>
      </c>
      <c r="H4">
        <v>12</v>
      </c>
      <c r="I4">
        <v>20</v>
      </c>
      <c r="J4">
        <f t="shared" ref="J4:J12" si="0">H4-I4</f>
        <v>-8</v>
      </c>
      <c r="K4">
        <f>(J4*J4)^(0.5)</f>
        <v>8</v>
      </c>
      <c r="L4">
        <v>5</v>
      </c>
      <c r="M4">
        <v>20</v>
      </c>
      <c r="N4">
        <f t="shared" ref="N4:N12" si="1">L4-M4</f>
        <v>-15</v>
      </c>
      <c r="O4">
        <f>(N4*N4)^(0.5)</f>
        <v>15</v>
      </c>
      <c r="P4">
        <v>10</v>
      </c>
      <c r="Q4">
        <v>20</v>
      </c>
      <c r="R4">
        <f t="shared" ref="R4:R12" si="2">P4-Q4</f>
        <v>-10</v>
      </c>
      <c r="S4">
        <f>(R4*R4)^(0.5)</f>
        <v>10</v>
      </c>
      <c r="T4">
        <v>4</v>
      </c>
      <c r="U4">
        <v>20</v>
      </c>
      <c r="V4">
        <f>T4-U4</f>
        <v>-16</v>
      </c>
      <c r="W4">
        <f>(V4*V4)^(0.5)</f>
        <v>16</v>
      </c>
      <c r="X4">
        <v>3</v>
      </c>
      <c r="Y4">
        <v>20</v>
      </c>
      <c r="Z4">
        <f>X4-Y4</f>
        <v>-17</v>
      </c>
      <c r="AA4">
        <f>(Z4*Z4)^(0.5)</f>
        <v>17</v>
      </c>
      <c r="AC4">
        <v>26</v>
      </c>
      <c r="AD4">
        <v>20</v>
      </c>
      <c r="AE4">
        <f>AC4-AD4</f>
        <v>6</v>
      </c>
      <c r="AF4">
        <f>(AE4*AE4)^(0.5)</f>
        <v>6</v>
      </c>
      <c r="AG4">
        <v>25</v>
      </c>
      <c r="AH4">
        <v>20</v>
      </c>
      <c r="AI4">
        <f>AG4-AH4</f>
        <v>5</v>
      </c>
      <c r="AJ4">
        <f>(AI4*AI4)^(0.5)</f>
        <v>5</v>
      </c>
      <c r="AK4">
        <v>5</v>
      </c>
      <c r="AL4">
        <v>20</v>
      </c>
      <c r="AM4">
        <f>AK4-AL4</f>
        <v>-15</v>
      </c>
      <c r="AN4">
        <f>(AM4*AM4)^(0.5)</f>
        <v>15</v>
      </c>
      <c r="AO4">
        <v>36</v>
      </c>
      <c r="AP4">
        <v>25</v>
      </c>
      <c r="AQ4">
        <f>AO4-AP4</f>
        <v>11</v>
      </c>
      <c r="AR4">
        <f>(AQ4*AQ4)^(0.5)</f>
        <v>11</v>
      </c>
      <c r="AS4">
        <v>4</v>
      </c>
      <c r="AT4">
        <v>20</v>
      </c>
      <c r="AU4">
        <f>AS4-AT4</f>
        <v>-16</v>
      </c>
      <c r="AV4">
        <f>(AU4*AU4)^(0.5)</f>
        <v>16</v>
      </c>
    </row>
    <row r="5" spans="1:48" x14ac:dyDescent="0.3">
      <c r="A5" s="27" t="s">
        <v>70</v>
      </c>
      <c r="B5" s="27"/>
      <c r="C5">
        <v>27</v>
      </c>
      <c r="D5">
        <v>20</v>
      </c>
      <c r="E5">
        <f t="shared" ref="E5:E12" si="3">C5-D5</f>
        <v>7</v>
      </c>
      <c r="F5">
        <f t="shared" ref="F5:F12" si="4">(E5*E5)^(0.5)</f>
        <v>7</v>
      </c>
      <c r="H5">
        <v>29</v>
      </c>
      <c r="I5">
        <v>10</v>
      </c>
      <c r="J5">
        <f t="shared" si="0"/>
        <v>19</v>
      </c>
      <c r="K5">
        <f t="shared" ref="K5:K12" si="5">(J5*J5)^(0.5)</f>
        <v>19</v>
      </c>
      <c r="L5">
        <v>18</v>
      </c>
      <c r="M5">
        <v>10</v>
      </c>
      <c r="N5">
        <f t="shared" si="1"/>
        <v>8</v>
      </c>
      <c r="O5">
        <f t="shared" ref="O5:O12" si="6">(N5*N5)^(0.5)</f>
        <v>8</v>
      </c>
      <c r="P5">
        <v>12</v>
      </c>
      <c r="Q5">
        <v>10</v>
      </c>
      <c r="R5">
        <f t="shared" si="2"/>
        <v>2</v>
      </c>
      <c r="S5">
        <f t="shared" ref="S5:S12" si="7">(R5*R5)^(0.5)</f>
        <v>2</v>
      </c>
      <c r="T5">
        <v>21</v>
      </c>
      <c r="U5">
        <v>10</v>
      </c>
      <c r="V5">
        <f t="shared" ref="V5:V12" si="8">T5-U5</f>
        <v>11</v>
      </c>
      <c r="W5">
        <f t="shared" ref="W5:W12" si="9">(V5*V5)^(0.5)</f>
        <v>11</v>
      </c>
      <c r="X5">
        <v>20</v>
      </c>
      <c r="Y5">
        <v>10</v>
      </c>
      <c r="Z5">
        <f t="shared" ref="Z5:Z12" si="10">X5-Y5</f>
        <v>10</v>
      </c>
      <c r="AA5">
        <f t="shared" ref="AA5:AA12" si="11">(Z5*Z5)^(0.5)</f>
        <v>10</v>
      </c>
      <c r="AC5">
        <v>24</v>
      </c>
      <c r="AD5">
        <v>10</v>
      </c>
      <c r="AE5">
        <f t="shared" ref="AE5:AE12" si="12">AC5-AD5</f>
        <v>14</v>
      </c>
      <c r="AF5">
        <f t="shared" ref="AF5:AF12" si="13">(AE5*AE5)^(0.5)</f>
        <v>14</v>
      </c>
      <c r="AG5">
        <v>38</v>
      </c>
      <c r="AH5">
        <v>10</v>
      </c>
      <c r="AI5">
        <f t="shared" ref="AI5:AI12" si="14">AG5-AH5</f>
        <v>28</v>
      </c>
      <c r="AJ5">
        <f t="shared" ref="AJ5:AJ12" si="15">(AI5*AI5)^(0.5)</f>
        <v>28</v>
      </c>
      <c r="AK5">
        <v>9</v>
      </c>
      <c r="AL5">
        <v>10</v>
      </c>
      <c r="AM5">
        <f t="shared" ref="AM5:AM12" si="16">AK5-AL5</f>
        <v>-1</v>
      </c>
      <c r="AN5">
        <f t="shared" ref="AN5:AN12" si="17">(AM5*AM5)^(0.5)</f>
        <v>1</v>
      </c>
      <c r="AO5">
        <v>20</v>
      </c>
      <c r="AP5">
        <v>15</v>
      </c>
      <c r="AQ5">
        <f t="shared" ref="AQ5:AQ12" si="18">AO5-AP5</f>
        <v>5</v>
      </c>
      <c r="AR5">
        <f t="shared" ref="AR5:AR12" si="19">(AQ5*AQ5)^(0.5)</f>
        <v>5</v>
      </c>
      <c r="AS5">
        <v>29</v>
      </c>
      <c r="AT5">
        <v>10</v>
      </c>
      <c r="AU5">
        <f t="shared" ref="AU5:AU12" si="20">AS5-AT5</f>
        <v>19</v>
      </c>
      <c r="AV5">
        <f t="shared" ref="AV5:AV12" si="21">(AU5*AU5)^(0.5)</f>
        <v>19</v>
      </c>
    </row>
    <row r="6" spans="1:48" x14ac:dyDescent="0.3">
      <c r="A6" s="26" t="s">
        <v>71</v>
      </c>
      <c r="B6" s="26"/>
      <c r="C6">
        <v>12</v>
      </c>
      <c r="D6">
        <v>20</v>
      </c>
      <c r="E6">
        <f t="shared" si="3"/>
        <v>-8</v>
      </c>
      <c r="F6">
        <f t="shared" si="4"/>
        <v>8</v>
      </c>
      <c r="H6">
        <v>23</v>
      </c>
      <c r="I6">
        <v>8</v>
      </c>
      <c r="J6">
        <f t="shared" si="0"/>
        <v>15</v>
      </c>
      <c r="K6">
        <f t="shared" si="5"/>
        <v>15</v>
      </c>
      <c r="L6">
        <v>4</v>
      </c>
      <c r="M6">
        <v>8</v>
      </c>
      <c r="N6">
        <f t="shared" si="1"/>
        <v>-4</v>
      </c>
      <c r="O6">
        <f t="shared" si="6"/>
        <v>4</v>
      </c>
      <c r="P6">
        <v>4</v>
      </c>
      <c r="Q6">
        <v>8</v>
      </c>
      <c r="R6">
        <f t="shared" si="2"/>
        <v>-4</v>
      </c>
      <c r="S6">
        <f t="shared" si="7"/>
        <v>4</v>
      </c>
      <c r="T6">
        <v>15</v>
      </c>
      <c r="U6">
        <v>8</v>
      </c>
      <c r="V6">
        <f t="shared" si="8"/>
        <v>7</v>
      </c>
      <c r="W6">
        <f t="shared" si="9"/>
        <v>7</v>
      </c>
      <c r="X6">
        <v>2</v>
      </c>
      <c r="Y6">
        <v>8</v>
      </c>
      <c r="Z6">
        <f t="shared" si="10"/>
        <v>-6</v>
      </c>
      <c r="AA6">
        <f t="shared" si="11"/>
        <v>6</v>
      </c>
      <c r="AC6">
        <v>7</v>
      </c>
      <c r="AD6">
        <v>8</v>
      </c>
      <c r="AE6">
        <f t="shared" si="12"/>
        <v>-1</v>
      </c>
      <c r="AF6">
        <f t="shared" si="13"/>
        <v>1</v>
      </c>
      <c r="AG6">
        <v>0</v>
      </c>
      <c r="AH6">
        <v>8</v>
      </c>
      <c r="AI6">
        <f t="shared" si="14"/>
        <v>-8</v>
      </c>
      <c r="AJ6">
        <f t="shared" si="15"/>
        <v>8</v>
      </c>
      <c r="AK6">
        <v>4</v>
      </c>
      <c r="AL6">
        <v>8</v>
      </c>
      <c r="AM6">
        <f t="shared" si="16"/>
        <v>-4</v>
      </c>
      <c r="AN6">
        <f t="shared" si="17"/>
        <v>4</v>
      </c>
      <c r="AO6">
        <v>4</v>
      </c>
      <c r="AP6">
        <v>14</v>
      </c>
      <c r="AQ6">
        <f t="shared" si="18"/>
        <v>-10</v>
      </c>
      <c r="AR6">
        <f t="shared" si="19"/>
        <v>10</v>
      </c>
      <c r="AS6">
        <v>6</v>
      </c>
      <c r="AT6">
        <v>8</v>
      </c>
      <c r="AU6">
        <f t="shared" si="20"/>
        <v>-2</v>
      </c>
      <c r="AV6">
        <f t="shared" si="21"/>
        <v>2</v>
      </c>
    </row>
    <row r="7" spans="1:48" x14ac:dyDescent="0.3">
      <c r="A7" s="27" t="s">
        <v>72</v>
      </c>
      <c r="B7" s="27"/>
      <c r="C7">
        <v>8</v>
      </c>
      <c r="D7">
        <v>10</v>
      </c>
      <c r="E7">
        <f t="shared" si="3"/>
        <v>-2</v>
      </c>
      <c r="F7">
        <f t="shared" si="4"/>
        <v>2</v>
      </c>
      <c r="H7">
        <v>15</v>
      </c>
      <c r="I7">
        <v>4</v>
      </c>
      <c r="J7">
        <f t="shared" si="0"/>
        <v>11</v>
      </c>
      <c r="K7">
        <f t="shared" si="5"/>
        <v>11</v>
      </c>
      <c r="L7">
        <v>11</v>
      </c>
      <c r="M7">
        <v>4</v>
      </c>
      <c r="N7">
        <f t="shared" si="1"/>
        <v>7</v>
      </c>
      <c r="O7">
        <f t="shared" si="6"/>
        <v>7</v>
      </c>
      <c r="P7">
        <v>7</v>
      </c>
      <c r="Q7">
        <v>4</v>
      </c>
      <c r="R7">
        <f t="shared" si="2"/>
        <v>3</v>
      </c>
      <c r="S7">
        <f t="shared" si="7"/>
        <v>3</v>
      </c>
      <c r="T7">
        <v>12</v>
      </c>
      <c r="U7">
        <v>4</v>
      </c>
      <c r="V7">
        <f t="shared" si="8"/>
        <v>8</v>
      </c>
      <c r="W7">
        <f t="shared" si="9"/>
        <v>8</v>
      </c>
      <c r="X7">
        <v>3</v>
      </c>
      <c r="Y7">
        <v>4</v>
      </c>
      <c r="Z7">
        <f t="shared" si="10"/>
        <v>-1</v>
      </c>
      <c r="AA7">
        <f t="shared" si="11"/>
        <v>1</v>
      </c>
      <c r="AC7">
        <v>8</v>
      </c>
      <c r="AD7">
        <v>4</v>
      </c>
      <c r="AE7">
        <f t="shared" si="12"/>
        <v>4</v>
      </c>
      <c r="AF7">
        <f t="shared" si="13"/>
        <v>4</v>
      </c>
      <c r="AG7">
        <v>7</v>
      </c>
      <c r="AH7">
        <v>4</v>
      </c>
      <c r="AI7">
        <f t="shared" si="14"/>
        <v>3</v>
      </c>
      <c r="AJ7">
        <f t="shared" si="15"/>
        <v>3</v>
      </c>
      <c r="AK7">
        <v>32</v>
      </c>
      <c r="AL7">
        <v>4</v>
      </c>
      <c r="AM7">
        <f t="shared" si="16"/>
        <v>28</v>
      </c>
      <c r="AN7">
        <f t="shared" si="17"/>
        <v>28</v>
      </c>
      <c r="AO7">
        <v>4</v>
      </c>
      <c r="AP7">
        <v>7</v>
      </c>
      <c r="AQ7">
        <f t="shared" si="18"/>
        <v>-3</v>
      </c>
      <c r="AR7">
        <f t="shared" si="19"/>
        <v>3</v>
      </c>
      <c r="AS7">
        <v>15</v>
      </c>
      <c r="AT7">
        <v>4</v>
      </c>
      <c r="AU7">
        <f t="shared" si="20"/>
        <v>11</v>
      </c>
      <c r="AV7">
        <f t="shared" si="21"/>
        <v>11</v>
      </c>
    </row>
    <row r="8" spans="1:48" x14ac:dyDescent="0.3">
      <c r="A8" s="26" t="s">
        <v>77</v>
      </c>
      <c r="B8" s="26"/>
      <c r="C8">
        <v>2</v>
      </c>
      <c r="D8">
        <v>5</v>
      </c>
      <c r="E8">
        <f t="shared" si="3"/>
        <v>-3</v>
      </c>
      <c r="F8">
        <f t="shared" si="4"/>
        <v>3</v>
      </c>
      <c r="H8">
        <v>1</v>
      </c>
      <c r="I8">
        <v>3</v>
      </c>
      <c r="J8">
        <f t="shared" si="0"/>
        <v>-2</v>
      </c>
      <c r="K8">
        <f t="shared" si="5"/>
        <v>2</v>
      </c>
      <c r="L8">
        <v>0</v>
      </c>
      <c r="M8">
        <v>3</v>
      </c>
      <c r="N8">
        <f t="shared" si="1"/>
        <v>-3</v>
      </c>
      <c r="O8">
        <f t="shared" si="6"/>
        <v>3</v>
      </c>
      <c r="P8">
        <v>5</v>
      </c>
      <c r="Q8">
        <v>3</v>
      </c>
      <c r="R8">
        <f t="shared" si="2"/>
        <v>2</v>
      </c>
      <c r="S8">
        <f t="shared" si="7"/>
        <v>2</v>
      </c>
      <c r="T8">
        <v>2</v>
      </c>
      <c r="U8">
        <v>3</v>
      </c>
      <c r="V8">
        <f t="shared" si="8"/>
        <v>-1</v>
      </c>
      <c r="W8">
        <f t="shared" si="9"/>
        <v>1</v>
      </c>
      <c r="X8">
        <v>1</v>
      </c>
      <c r="Y8">
        <v>3</v>
      </c>
      <c r="Z8">
        <f t="shared" si="10"/>
        <v>-2</v>
      </c>
      <c r="AA8">
        <f t="shared" si="11"/>
        <v>2</v>
      </c>
      <c r="AC8">
        <v>0</v>
      </c>
      <c r="AD8">
        <v>3</v>
      </c>
      <c r="AE8">
        <f t="shared" si="12"/>
        <v>-3</v>
      </c>
      <c r="AF8">
        <f t="shared" si="13"/>
        <v>3</v>
      </c>
      <c r="AG8">
        <v>15</v>
      </c>
      <c r="AH8">
        <v>3</v>
      </c>
      <c r="AI8">
        <f t="shared" si="14"/>
        <v>12</v>
      </c>
      <c r="AJ8">
        <f t="shared" si="15"/>
        <v>12</v>
      </c>
      <c r="AK8">
        <v>1</v>
      </c>
      <c r="AL8">
        <v>3</v>
      </c>
      <c r="AM8">
        <f t="shared" si="16"/>
        <v>-2</v>
      </c>
      <c r="AN8">
        <f t="shared" si="17"/>
        <v>2</v>
      </c>
      <c r="AO8">
        <v>0</v>
      </c>
      <c r="AP8">
        <v>4</v>
      </c>
      <c r="AQ8">
        <f t="shared" si="18"/>
        <v>-4</v>
      </c>
      <c r="AR8">
        <f t="shared" si="19"/>
        <v>4</v>
      </c>
      <c r="AS8">
        <v>1</v>
      </c>
      <c r="AT8">
        <v>3</v>
      </c>
      <c r="AU8">
        <f t="shared" si="20"/>
        <v>-2</v>
      </c>
      <c r="AV8">
        <f t="shared" si="21"/>
        <v>2</v>
      </c>
    </row>
    <row r="9" spans="1:48" x14ac:dyDescent="0.3">
      <c r="A9" s="26" t="s">
        <v>76</v>
      </c>
      <c r="B9" s="26"/>
      <c r="C9">
        <v>11</v>
      </c>
      <c r="D9">
        <v>10</v>
      </c>
      <c r="E9">
        <f t="shared" si="3"/>
        <v>1</v>
      </c>
      <c r="F9">
        <f t="shared" si="4"/>
        <v>1</v>
      </c>
      <c r="H9">
        <v>13</v>
      </c>
      <c r="I9">
        <v>10</v>
      </c>
      <c r="J9">
        <f t="shared" si="0"/>
        <v>3</v>
      </c>
      <c r="K9">
        <f t="shared" si="5"/>
        <v>3</v>
      </c>
      <c r="L9">
        <v>10</v>
      </c>
      <c r="M9">
        <v>10</v>
      </c>
      <c r="N9">
        <f t="shared" si="1"/>
        <v>0</v>
      </c>
      <c r="O9">
        <f t="shared" si="6"/>
        <v>0</v>
      </c>
      <c r="P9">
        <v>52</v>
      </c>
      <c r="Q9">
        <v>10</v>
      </c>
      <c r="R9">
        <f t="shared" si="2"/>
        <v>42</v>
      </c>
      <c r="S9">
        <f t="shared" si="7"/>
        <v>42</v>
      </c>
      <c r="T9">
        <v>19</v>
      </c>
      <c r="U9">
        <v>10</v>
      </c>
      <c r="V9">
        <f t="shared" si="8"/>
        <v>9</v>
      </c>
      <c r="W9">
        <f t="shared" si="9"/>
        <v>9</v>
      </c>
      <c r="X9">
        <v>7</v>
      </c>
      <c r="Y9">
        <v>10</v>
      </c>
      <c r="Z9">
        <f t="shared" si="10"/>
        <v>-3</v>
      </c>
      <c r="AA9">
        <f t="shared" si="11"/>
        <v>3</v>
      </c>
      <c r="AC9">
        <v>9</v>
      </c>
      <c r="AD9">
        <v>10</v>
      </c>
      <c r="AE9">
        <f t="shared" si="12"/>
        <v>-1</v>
      </c>
      <c r="AF9">
        <f t="shared" si="13"/>
        <v>1</v>
      </c>
      <c r="AG9">
        <v>13</v>
      </c>
      <c r="AH9">
        <v>10</v>
      </c>
      <c r="AI9">
        <f t="shared" si="14"/>
        <v>3</v>
      </c>
      <c r="AJ9">
        <f t="shared" si="15"/>
        <v>3</v>
      </c>
      <c r="AK9">
        <v>3</v>
      </c>
      <c r="AL9">
        <v>10</v>
      </c>
      <c r="AM9">
        <f t="shared" si="16"/>
        <v>-7</v>
      </c>
      <c r="AN9">
        <f t="shared" si="17"/>
        <v>7</v>
      </c>
      <c r="AO9">
        <v>24</v>
      </c>
      <c r="AP9">
        <v>10</v>
      </c>
      <c r="AQ9">
        <f t="shared" si="18"/>
        <v>14</v>
      </c>
      <c r="AR9">
        <f t="shared" si="19"/>
        <v>14</v>
      </c>
      <c r="AS9">
        <v>27</v>
      </c>
      <c r="AT9">
        <v>10</v>
      </c>
      <c r="AU9">
        <f t="shared" si="20"/>
        <v>17</v>
      </c>
      <c r="AV9">
        <f t="shared" si="21"/>
        <v>17</v>
      </c>
    </row>
    <row r="10" spans="1:48" x14ac:dyDescent="0.3">
      <c r="A10" s="26" t="s">
        <v>155</v>
      </c>
      <c r="B10" s="26"/>
      <c r="C10">
        <v>4</v>
      </c>
      <c r="D10">
        <v>3</v>
      </c>
      <c r="E10">
        <f t="shared" si="3"/>
        <v>1</v>
      </c>
      <c r="F10">
        <f t="shared" si="4"/>
        <v>1</v>
      </c>
      <c r="H10">
        <v>4</v>
      </c>
      <c r="I10">
        <v>18</v>
      </c>
      <c r="J10">
        <f t="shared" si="0"/>
        <v>-14</v>
      </c>
      <c r="K10">
        <f t="shared" si="5"/>
        <v>14</v>
      </c>
      <c r="L10">
        <v>7</v>
      </c>
      <c r="M10">
        <v>18</v>
      </c>
      <c r="N10">
        <f t="shared" si="1"/>
        <v>-11</v>
      </c>
      <c r="O10">
        <f t="shared" si="6"/>
        <v>11</v>
      </c>
      <c r="P10">
        <v>1</v>
      </c>
      <c r="Q10">
        <v>18</v>
      </c>
      <c r="R10">
        <f t="shared" si="2"/>
        <v>-17</v>
      </c>
      <c r="S10">
        <f t="shared" si="7"/>
        <v>17</v>
      </c>
      <c r="T10">
        <v>8</v>
      </c>
      <c r="U10">
        <v>18</v>
      </c>
      <c r="V10">
        <f t="shared" si="8"/>
        <v>-10</v>
      </c>
      <c r="W10">
        <f t="shared" si="9"/>
        <v>10</v>
      </c>
      <c r="X10">
        <v>11</v>
      </c>
      <c r="Y10">
        <v>18</v>
      </c>
      <c r="Z10">
        <f t="shared" si="10"/>
        <v>-7</v>
      </c>
      <c r="AA10">
        <f t="shared" si="11"/>
        <v>7</v>
      </c>
      <c r="AC10">
        <v>4</v>
      </c>
      <c r="AD10">
        <v>18</v>
      </c>
      <c r="AE10">
        <f t="shared" si="12"/>
        <v>-14</v>
      </c>
      <c r="AF10">
        <f t="shared" si="13"/>
        <v>14</v>
      </c>
      <c r="AG10">
        <v>0</v>
      </c>
      <c r="AH10">
        <v>18</v>
      </c>
      <c r="AI10">
        <f t="shared" si="14"/>
        <v>-18</v>
      </c>
      <c r="AJ10">
        <f t="shared" si="15"/>
        <v>18</v>
      </c>
      <c r="AK10">
        <v>0</v>
      </c>
      <c r="AL10">
        <v>18</v>
      </c>
      <c r="AM10">
        <f t="shared" si="16"/>
        <v>-18</v>
      </c>
      <c r="AN10">
        <f t="shared" si="17"/>
        <v>18</v>
      </c>
      <c r="AO10">
        <v>0</v>
      </c>
      <c r="AP10">
        <v>11</v>
      </c>
      <c r="AQ10">
        <f t="shared" si="18"/>
        <v>-11</v>
      </c>
      <c r="AR10">
        <f t="shared" si="19"/>
        <v>11</v>
      </c>
      <c r="AS10">
        <v>0</v>
      </c>
      <c r="AT10">
        <v>18</v>
      </c>
      <c r="AU10">
        <f t="shared" si="20"/>
        <v>-18</v>
      </c>
      <c r="AV10">
        <f t="shared" si="21"/>
        <v>18</v>
      </c>
    </row>
    <row r="11" spans="1:48" x14ac:dyDescent="0.3">
      <c r="A11" s="26" t="s">
        <v>74</v>
      </c>
      <c r="B11" s="26"/>
      <c r="C11">
        <v>3</v>
      </c>
      <c r="D11">
        <v>2</v>
      </c>
      <c r="E11">
        <f t="shared" si="3"/>
        <v>1</v>
      </c>
      <c r="F11">
        <f t="shared" si="4"/>
        <v>1</v>
      </c>
      <c r="H11">
        <v>0</v>
      </c>
      <c r="I11">
        <v>15</v>
      </c>
      <c r="J11">
        <f t="shared" si="0"/>
        <v>-15</v>
      </c>
      <c r="K11">
        <f t="shared" si="5"/>
        <v>15</v>
      </c>
      <c r="L11">
        <v>21</v>
      </c>
      <c r="M11">
        <v>15</v>
      </c>
      <c r="N11">
        <f t="shared" si="1"/>
        <v>6</v>
      </c>
      <c r="O11">
        <f t="shared" si="6"/>
        <v>6</v>
      </c>
      <c r="P11">
        <v>9</v>
      </c>
      <c r="Q11">
        <v>15</v>
      </c>
      <c r="R11">
        <f t="shared" si="2"/>
        <v>-6</v>
      </c>
      <c r="S11">
        <f t="shared" si="7"/>
        <v>6</v>
      </c>
      <c r="T11">
        <v>19</v>
      </c>
      <c r="U11">
        <v>15</v>
      </c>
      <c r="V11">
        <f t="shared" si="8"/>
        <v>4</v>
      </c>
      <c r="W11">
        <f t="shared" si="9"/>
        <v>4</v>
      </c>
      <c r="X11">
        <v>1</v>
      </c>
      <c r="Y11">
        <v>15</v>
      </c>
      <c r="Z11">
        <f t="shared" si="10"/>
        <v>-14</v>
      </c>
      <c r="AA11">
        <f t="shared" si="11"/>
        <v>14</v>
      </c>
      <c r="AC11">
        <v>22</v>
      </c>
      <c r="AD11">
        <v>15</v>
      </c>
      <c r="AE11">
        <f t="shared" si="12"/>
        <v>7</v>
      </c>
      <c r="AF11">
        <f t="shared" si="13"/>
        <v>7</v>
      </c>
      <c r="AG11">
        <v>2</v>
      </c>
      <c r="AH11">
        <v>15</v>
      </c>
      <c r="AI11">
        <f t="shared" si="14"/>
        <v>-13</v>
      </c>
      <c r="AJ11">
        <f t="shared" si="15"/>
        <v>13</v>
      </c>
      <c r="AK11">
        <v>42</v>
      </c>
      <c r="AL11">
        <v>15</v>
      </c>
      <c r="AM11">
        <f t="shared" si="16"/>
        <v>27</v>
      </c>
      <c r="AN11">
        <f t="shared" si="17"/>
        <v>27</v>
      </c>
      <c r="AO11">
        <v>12</v>
      </c>
      <c r="AP11">
        <v>9</v>
      </c>
      <c r="AQ11">
        <f t="shared" si="18"/>
        <v>3</v>
      </c>
      <c r="AR11">
        <f t="shared" si="19"/>
        <v>3</v>
      </c>
      <c r="AS11">
        <v>11</v>
      </c>
      <c r="AT11">
        <v>15</v>
      </c>
      <c r="AU11">
        <f t="shared" si="20"/>
        <v>-4</v>
      </c>
      <c r="AV11">
        <f t="shared" si="21"/>
        <v>4</v>
      </c>
    </row>
    <row r="12" spans="1:48" x14ac:dyDescent="0.3">
      <c r="A12" s="27" t="s">
        <v>75</v>
      </c>
      <c r="B12" s="27"/>
      <c r="C12">
        <v>3</v>
      </c>
      <c r="D12">
        <v>0</v>
      </c>
      <c r="E12">
        <f t="shared" si="3"/>
        <v>3</v>
      </c>
      <c r="F12">
        <f t="shared" si="4"/>
        <v>3</v>
      </c>
      <c r="H12">
        <v>3</v>
      </c>
      <c r="I12">
        <v>12</v>
      </c>
      <c r="J12">
        <f t="shared" si="0"/>
        <v>-9</v>
      </c>
      <c r="K12">
        <f t="shared" si="5"/>
        <v>9</v>
      </c>
      <c r="L12">
        <v>24</v>
      </c>
      <c r="M12">
        <v>12</v>
      </c>
      <c r="N12">
        <f t="shared" si="1"/>
        <v>12</v>
      </c>
      <c r="O12">
        <f t="shared" si="6"/>
        <v>12</v>
      </c>
      <c r="P12">
        <v>0</v>
      </c>
      <c r="Q12">
        <v>12</v>
      </c>
      <c r="R12">
        <f t="shared" si="2"/>
        <v>-12</v>
      </c>
      <c r="S12">
        <f t="shared" si="7"/>
        <v>12</v>
      </c>
      <c r="T12">
        <v>0</v>
      </c>
      <c r="U12">
        <v>12</v>
      </c>
      <c r="V12">
        <f t="shared" si="8"/>
        <v>-12</v>
      </c>
      <c r="W12">
        <f t="shared" si="9"/>
        <v>12</v>
      </c>
      <c r="X12">
        <v>52</v>
      </c>
      <c r="Y12">
        <v>12</v>
      </c>
      <c r="Z12">
        <f t="shared" si="10"/>
        <v>40</v>
      </c>
      <c r="AA12">
        <f t="shared" si="11"/>
        <v>40</v>
      </c>
      <c r="AC12">
        <v>0</v>
      </c>
      <c r="AD12">
        <v>12</v>
      </c>
      <c r="AE12">
        <f t="shared" si="12"/>
        <v>-12</v>
      </c>
      <c r="AF12">
        <f t="shared" si="13"/>
        <v>12</v>
      </c>
      <c r="AG12">
        <v>0</v>
      </c>
      <c r="AH12">
        <v>12</v>
      </c>
      <c r="AI12">
        <f t="shared" si="14"/>
        <v>-12</v>
      </c>
      <c r="AJ12">
        <f t="shared" si="15"/>
        <v>12</v>
      </c>
      <c r="AK12">
        <v>4</v>
      </c>
      <c r="AL12">
        <v>12</v>
      </c>
      <c r="AM12">
        <f t="shared" si="16"/>
        <v>-8</v>
      </c>
      <c r="AN12">
        <f t="shared" si="17"/>
        <v>8</v>
      </c>
      <c r="AO12">
        <v>0</v>
      </c>
      <c r="AP12">
        <v>5</v>
      </c>
      <c r="AQ12">
        <f t="shared" si="18"/>
        <v>-5</v>
      </c>
      <c r="AR12">
        <f t="shared" si="19"/>
        <v>5</v>
      </c>
      <c r="AS12">
        <v>7</v>
      </c>
      <c r="AT12">
        <v>12</v>
      </c>
      <c r="AU12">
        <f t="shared" si="20"/>
        <v>-5</v>
      </c>
      <c r="AV12">
        <f t="shared" si="21"/>
        <v>5</v>
      </c>
    </row>
    <row r="13" spans="1:48" x14ac:dyDescent="0.3">
      <c r="A13" t="s">
        <v>150</v>
      </c>
      <c r="C13">
        <f>SUM(C4:C12)</f>
        <v>100</v>
      </c>
      <c r="D13">
        <f t="shared" ref="D13:AN13" si="22">SUM(D4:D12)</f>
        <v>100</v>
      </c>
      <c r="E13">
        <f t="shared" si="22"/>
        <v>0</v>
      </c>
      <c r="F13">
        <f t="shared" si="22"/>
        <v>26</v>
      </c>
      <c r="H13">
        <f t="shared" si="22"/>
        <v>100</v>
      </c>
      <c r="I13">
        <f t="shared" si="22"/>
        <v>100</v>
      </c>
      <c r="J13">
        <f t="shared" si="22"/>
        <v>0</v>
      </c>
      <c r="K13">
        <f t="shared" si="22"/>
        <v>96</v>
      </c>
      <c r="L13">
        <f>SUM(L4:L12)</f>
        <v>100</v>
      </c>
      <c r="M13">
        <f t="shared" si="22"/>
        <v>100</v>
      </c>
      <c r="N13">
        <f t="shared" si="22"/>
        <v>0</v>
      </c>
      <c r="O13">
        <f t="shared" si="22"/>
        <v>66</v>
      </c>
      <c r="P13">
        <f t="shared" si="22"/>
        <v>100</v>
      </c>
      <c r="Q13">
        <f t="shared" si="22"/>
        <v>100</v>
      </c>
      <c r="R13">
        <f t="shared" si="22"/>
        <v>0</v>
      </c>
      <c r="S13">
        <f t="shared" si="22"/>
        <v>98</v>
      </c>
      <c r="T13">
        <f t="shared" si="22"/>
        <v>100</v>
      </c>
      <c r="U13">
        <f t="shared" si="22"/>
        <v>100</v>
      </c>
      <c r="V13">
        <f t="shared" si="22"/>
        <v>0</v>
      </c>
      <c r="W13">
        <f t="shared" si="22"/>
        <v>78</v>
      </c>
      <c r="X13">
        <f t="shared" si="22"/>
        <v>100</v>
      </c>
      <c r="Y13">
        <f t="shared" si="22"/>
        <v>100</v>
      </c>
      <c r="Z13">
        <f t="shared" si="22"/>
        <v>0</v>
      </c>
      <c r="AA13">
        <f t="shared" si="22"/>
        <v>100</v>
      </c>
      <c r="AB13">
        <f t="shared" si="22"/>
        <v>0</v>
      </c>
      <c r="AC13">
        <f t="shared" si="22"/>
        <v>100</v>
      </c>
      <c r="AD13">
        <f t="shared" si="22"/>
        <v>100</v>
      </c>
      <c r="AE13">
        <f t="shared" si="22"/>
        <v>0</v>
      </c>
      <c r="AF13">
        <f t="shared" si="22"/>
        <v>62</v>
      </c>
      <c r="AG13">
        <f t="shared" si="22"/>
        <v>100</v>
      </c>
      <c r="AH13">
        <f t="shared" si="22"/>
        <v>100</v>
      </c>
      <c r="AI13">
        <f t="shared" si="22"/>
        <v>0</v>
      </c>
      <c r="AJ13">
        <f t="shared" si="22"/>
        <v>102</v>
      </c>
      <c r="AK13">
        <f t="shared" si="22"/>
        <v>100</v>
      </c>
      <c r="AL13">
        <f t="shared" si="22"/>
        <v>100</v>
      </c>
      <c r="AM13">
        <f t="shared" si="22"/>
        <v>0</v>
      </c>
      <c r="AN13">
        <f t="shared" si="22"/>
        <v>110</v>
      </c>
      <c r="AO13">
        <f t="shared" ref="AO13:AV13" si="23">SUM(AO4:AO12)</f>
        <v>100</v>
      </c>
      <c r="AP13">
        <f t="shared" si="23"/>
        <v>100</v>
      </c>
      <c r="AQ13">
        <f t="shared" si="23"/>
        <v>0</v>
      </c>
      <c r="AR13">
        <f t="shared" si="23"/>
        <v>66</v>
      </c>
      <c r="AS13">
        <f t="shared" si="23"/>
        <v>100</v>
      </c>
      <c r="AT13">
        <f t="shared" si="23"/>
        <v>100</v>
      </c>
      <c r="AU13">
        <f t="shared" si="23"/>
        <v>0</v>
      </c>
      <c r="AV13">
        <f t="shared" si="23"/>
        <v>94</v>
      </c>
    </row>
    <row r="15" spans="1:48" x14ac:dyDescent="0.3">
      <c r="A15" s="26"/>
      <c r="B15" s="26"/>
    </row>
    <row r="16" spans="1:48" x14ac:dyDescent="0.3">
      <c r="C16" s="47" t="s">
        <v>153</v>
      </c>
      <c r="D16" s="47"/>
      <c r="E16" s="47"/>
      <c r="F16" s="25"/>
      <c r="H16" s="47" t="s">
        <v>156</v>
      </c>
      <c r="I16" s="47"/>
      <c r="J16" s="47"/>
      <c r="K16" s="47"/>
      <c r="L16" s="47" t="s">
        <v>158</v>
      </c>
      <c r="M16" s="47"/>
      <c r="N16" s="47"/>
      <c r="O16" s="47"/>
      <c r="P16" s="47" t="s">
        <v>160</v>
      </c>
      <c r="Q16" s="47"/>
      <c r="R16" s="47"/>
      <c r="S16" s="47"/>
      <c r="T16" s="47" t="s">
        <v>161</v>
      </c>
      <c r="U16" s="47"/>
      <c r="V16" s="47"/>
      <c r="W16" s="47"/>
      <c r="X16" s="47" t="s">
        <v>163</v>
      </c>
      <c r="Y16" s="47"/>
      <c r="Z16" s="47"/>
      <c r="AA16" s="47"/>
    </row>
    <row r="17" spans="1:48" ht="28.5" x14ac:dyDescent="0.3">
      <c r="C17" s="28" t="s">
        <v>144</v>
      </c>
      <c r="D17" s="29" t="s">
        <v>149</v>
      </c>
      <c r="E17" s="28" t="s">
        <v>145</v>
      </c>
      <c r="F17" s="28" t="s">
        <v>151</v>
      </c>
      <c r="H17" s="28" t="s">
        <v>144</v>
      </c>
      <c r="I17" s="29" t="s">
        <v>149</v>
      </c>
      <c r="J17" s="28" t="s">
        <v>145</v>
      </c>
      <c r="K17" s="28" t="s">
        <v>152</v>
      </c>
      <c r="L17" s="28" t="s">
        <v>144</v>
      </c>
      <c r="M17" s="29" t="s">
        <v>159</v>
      </c>
      <c r="N17" s="28" t="s">
        <v>145</v>
      </c>
      <c r="O17" s="28" t="s">
        <v>152</v>
      </c>
      <c r="P17" s="28" t="s">
        <v>144</v>
      </c>
      <c r="Q17" s="29" t="s">
        <v>159</v>
      </c>
      <c r="R17" s="28" t="s">
        <v>145</v>
      </c>
      <c r="S17" s="28" t="s">
        <v>152</v>
      </c>
      <c r="T17" s="28" t="s">
        <v>144</v>
      </c>
      <c r="U17" s="29" t="s">
        <v>149</v>
      </c>
      <c r="V17" s="28" t="s">
        <v>145</v>
      </c>
      <c r="W17" s="28" t="s">
        <v>152</v>
      </c>
      <c r="X17" s="28" t="s">
        <v>144</v>
      </c>
      <c r="Y17" s="29" t="s">
        <v>159</v>
      </c>
      <c r="Z17" s="28" t="s">
        <v>145</v>
      </c>
      <c r="AA17" s="28" t="s">
        <v>152</v>
      </c>
      <c r="AS17" s="47" t="s">
        <v>6</v>
      </c>
      <c r="AT17" s="47"/>
      <c r="AU17" s="47"/>
    </row>
    <row r="18" spans="1:48" ht="28.5" x14ac:dyDescent="0.3">
      <c r="A18" s="26" t="s">
        <v>69</v>
      </c>
      <c r="B18" s="26"/>
      <c r="C18">
        <v>47</v>
      </c>
      <c r="D18">
        <v>20</v>
      </c>
      <c r="E18">
        <f>C18-D18</f>
        <v>27</v>
      </c>
      <c r="F18">
        <f>(E18*E18)^(0.5)</f>
        <v>27</v>
      </c>
      <c r="H18">
        <v>28</v>
      </c>
      <c r="I18">
        <v>20</v>
      </c>
      <c r="J18">
        <f t="shared" ref="J18:J26" si="24">H18-I18</f>
        <v>8</v>
      </c>
      <c r="K18">
        <f>(J18*J18)^(0.5)</f>
        <v>8</v>
      </c>
      <c r="L18">
        <v>18</v>
      </c>
      <c r="M18">
        <v>25</v>
      </c>
      <c r="N18">
        <f t="shared" ref="N18:N26" si="25">L18-M18</f>
        <v>-7</v>
      </c>
      <c r="O18">
        <f>(N18*N18)^(0.5)</f>
        <v>7</v>
      </c>
      <c r="P18">
        <v>25</v>
      </c>
      <c r="Q18">
        <v>25</v>
      </c>
      <c r="R18">
        <f t="shared" ref="R18:R26" si="26">P18-Q18</f>
        <v>0</v>
      </c>
      <c r="S18">
        <f>(R18*R18)^(0.5)</f>
        <v>0</v>
      </c>
      <c r="T18">
        <v>23</v>
      </c>
      <c r="U18">
        <v>20</v>
      </c>
      <c r="V18">
        <f t="shared" ref="V18:V26" si="27">T18-U18</f>
        <v>3</v>
      </c>
      <c r="W18">
        <f>(V18*V18)^(0.5)</f>
        <v>3</v>
      </c>
      <c r="X18">
        <v>19</v>
      </c>
      <c r="Y18">
        <v>25</v>
      </c>
      <c r="Z18">
        <f t="shared" ref="Z18:Z26" si="28">X18-Y18</f>
        <v>-6</v>
      </c>
      <c r="AA18">
        <f>(Z18*Z18)^(0.5)</f>
        <v>6</v>
      </c>
      <c r="AS18" s="28" t="s">
        <v>144</v>
      </c>
      <c r="AT18" s="29" t="s">
        <v>149</v>
      </c>
      <c r="AU18" s="28" t="s">
        <v>145</v>
      </c>
      <c r="AV18" s="28" t="s">
        <v>152</v>
      </c>
    </row>
    <row r="19" spans="1:48" x14ac:dyDescent="0.3">
      <c r="A19" s="27" t="s">
        <v>70</v>
      </c>
      <c r="B19" s="27"/>
      <c r="C19">
        <v>11</v>
      </c>
      <c r="D19">
        <v>10</v>
      </c>
      <c r="E19">
        <f t="shared" ref="E19:E26" si="29">C19-D19</f>
        <v>1</v>
      </c>
      <c r="F19">
        <f t="shared" ref="F19:F26" si="30">(E19*E19)^(0.5)</f>
        <v>1</v>
      </c>
      <c r="H19">
        <v>35</v>
      </c>
      <c r="I19">
        <v>10</v>
      </c>
      <c r="J19">
        <f t="shared" si="24"/>
        <v>25</v>
      </c>
      <c r="K19">
        <f t="shared" ref="K19:K26" si="31">(J19*J19)^(0.5)</f>
        <v>25</v>
      </c>
      <c r="L19">
        <v>16</v>
      </c>
      <c r="M19">
        <v>15</v>
      </c>
      <c r="N19">
        <f t="shared" si="25"/>
        <v>1</v>
      </c>
      <c r="O19">
        <f t="shared" ref="O19:O26" si="32">(N19*N19)^(0.5)</f>
        <v>1</v>
      </c>
      <c r="P19">
        <v>20</v>
      </c>
      <c r="Q19">
        <v>15</v>
      </c>
      <c r="R19">
        <f t="shared" si="26"/>
        <v>5</v>
      </c>
      <c r="S19">
        <f t="shared" ref="S19:S26" si="33">(R19*R19)^(0.5)</f>
        <v>5</v>
      </c>
      <c r="T19">
        <v>27</v>
      </c>
      <c r="U19">
        <v>10</v>
      </c>
      <c r="V19">
        <f t="shared" si="27"/>
        <v>17</v>
      </c>
      <c r="W19">
        <f t="shared" ref="W19:W26" si="34">(V19*V19)^(0.5)</f>
        <v>17</v>
      </c>
      <c r="X19">
        <v>12</v>
      </c>
      <c r="Y19">
        <v>15</v>
      </c>
      <c r="Z19">
        <f t="shared" si="28"/>
        <v>-3</v>
      </c>
      <c r="AA19">
        <f t="shared" ref="AA19:AA26" si="35">(Z19*Z19)^(0.5)</f>
        <v>3</v>
      </c>
      <c r="AS19">
        <v>2</v>
      </c>
      <c r="AT19">
        <v>20</v>
      </c>
      <c r="AU19">
        <f>AS19-AT19</f>
        <v>-18</v>
      </c>
      <c r="AV19">
        <f>(AU19*AU19)^(0.5)</f>
        <v>18</v>
      </c>
    </row>
    <row r="20" spans="1:48" x14ac:dyDescent="0.3">
      <c r="A20" s="26" t="s">
        <v>71</v>
      </c>
      <c r="B20" s="26"/>
      <c r="C20">
        <v>13</v>
      </c>
      <c r="D20">
        <v>8</v>
      </c>
      <c r="E20">
        <f t="shared" si="29"/>
        <v>5</v>
      </c>
      <c r="F20">
        <f t="shared" si="30"/>
        <v>5</v>
      </c>
      <c r="H20">
        <v>9</v>
      </c>
      <c r="I20">
        <v>8</v>
      </c>
      <c r="J20">
        <f t="shared" si="24"/>
        <v>1</v>
      </c>
      <c r="K20">
        <f t="shared" si="31"/>
        <v>1</v>
      </c>
      <c r="L20">
        <v>16</v>
      </c>
      <c r="M20">
        <v>14</v>
      </c>
      <c r="N20">
        <f t="shared" si="25"/>
        <v>2</v>
      </c>
      <c r="O20">
        <f t="shared" si="32"/>
        <v>2</v>
      </c>
      <c r="P20">
        <v>14</v>
      </c>
      <c r="Q20">
        <v>14</v>
      </c>
      <c r="R20">
        <f t="shared" si="26"/>
        <v>0</v>
      </c>
      <c r="S20">
        <f t="shared" si="33"/>
        <v>0</v>
      </c>
      <c r="T20">
        <v>5</v>
      </c>
      <c r="U20">
        <v>8</v>
      </c>
      <c r="V20">
        <f t="shared" si="27"/>
        <v>-3</v>
      </c>
      <c r="W20">
        <f t="shared" si="34"/>
        <v>3</v>
      </c>
      <c r="X20">
        <v>11</v>
      </c>
      <c r="Y20">
        <v>14</v>
      </c>
      <c r="Z20">
        <f t="shared" si="28"/>
        <v>-3</v>
      </c>
      <c r="AA20">
        <f t="shared" si="35"/>
        <v>3</v>
      </c>
      <c r="AS20">
        <v>22</v>
      </c>
      <c r="AT20">
        <v>10</v>
      </c>
      <c r="AU20">
        <f t="shared" ref="AU20:AU27" si="36">AS20-AT20</f>
        <v>12</v>
      </c>
      <c r="AV20">
        <f t="shared" ref="AV20:AV27" si="37">(AU20*AU20)^(0.5)</f>
        <v>12</v>
      </c>
    </row>
    <row r="21" spans="1:48" x14ac:dyDescent="0.3">
      <c r="A21" s="27" t="s">
        <v>72</v>
      </c>
      <c r="B21" s="27"/>
      <c r="C21">
        <v>2</v>
      </c>
      <c r="D21">
        <v>4</v>
      </c>
      <c r="E21">
        <f t="shared" si="29"/>
        <v>-2</v>
      </c>
      <c r="F21">
        <f t="shared" si="30"/>
        <v>2</v>
      </c>
      <c r="H21">
        <v>1</v>
      </c>
      <c r="I21">
        <v>4</v>
      </c>
      <c r="J21">
        <f t="shared" si="24"/>
        <v>-3</v>
      </c>
      <c r="K21">
        <f t="shared" si="31"/>
        <v>3</v>
      </c>
      <c r="L21">
        <v>4</v>
      </c>
      <c r="M21">
        <v>7</v>
      </c>
      <c r="N21">
        <f t="shared" si="25"/>
        <v>-3</v>
      </c>
      <c r="O21">
        <f t="shared" si="32"/>
        <v>3</v>
      </c>
      <c r="P21">
        <v>6</v>
      </c>
      <c r="Q21">
        <v>7</v>
      </c>
      <c r="R21">
        <f t="shared" si="26"/>
        <v>-1</v>
      </c>
      <c r="S21">
        <f t="shared" si="33"/>
        <v>1</v>
      </c>
      <c r="T21">
        <v>2</v>
      </c>
      <c r="U21">
        <v>4</v>
      </c>
      <c r="V21">
        <f t="shared" si="27"/>
        <v>-2</v>
      </c>
      <c r="W21">
        <f t="shared" si="34"/>
        <v>2</v>
      </c>
      <c r="X21">
        <v>2</v>
      </c>
      <c r="Y21">
        <v>7</v>
      </c>
      <c r="Z21">
        <f t="shared" si="28"/>
        <v>-5</v>
      </c>
      <c r="AA21">
        <f t="shared" si="35"/>
        <v>5</v>
      </c>
      <c r="AS21">
        <v>6</v>
      </c>
      <c r="AT21">
        <v>8</v>
      </c>
      <c r="AU21">
        <f t="shared" si="36"/>
        <v>-2</v>
      </c>
      <c r="AV21">
        <f t="shared" si="37"/>
        <v>2</v>
      </c>
    </row>
    <row r="22" spans="1:48" x14ac:dyDescent="0.3">
      <c r="A22" s="26" t="s">
        <v>77</v>
      </c>
      <c r="B22" s="26"/>
      <c r="C22">
        <v>1</v>
      </c>
      <c r="D22">
        <v>3</v>
      </c>
      <c r="E22">
        <f t="shared" si="29"/>
        <v>-2</v>
      </c>
      <c r="F22">
        <f t="shared" si="30"/>
        <v>2</v>
      </c>
      <c r="H22">
        <v>0</v>
      </c>
      <c r="I22">
        <v>3</v>
      </c>
      <c r="J22">
        <f t="shared" si="24"/>
        <v>-3</v>
      </c>
      <c r="K22">
        <f t="shared" si="31"/>
        <v>3</v>
      </c>
      <c r="L22">
        <v>1</v>
      </c>
      <c r="M22">
        <v>4</v>
      </c>
      <c r="N22">
        <f t="shared" si="25"/>
        <v>-3</v>
      </c>
      <c r="O22">
        <f t="shared" si="32"/>
        <v>3</v>
      </c>
      <c r="P22">
        <v>1</v>
      </c>
      <c r="Q22">
        <v>4</v>
      </c>
      <c r="R22">
        <f t="shared" si="26"/>
        <v>-3</v>
      </c>
      <c r="S22">
        <f t="shared" si="33"/>
        <v>3</v>
      </c>
      <c r="T22">
        <v>0</v>
      </c>
      <c r="U22">
        <v>3</v>
      </c>
      <c r="V22">
        <f t="shared" si="27"/>
        <v>-3</v>
      </c>
      <c r="W22">
        <f t="shared" si="34"/>
        <v>3</v>
      </c>
      <c r="X22">
        <v>1</v>
      </c>
      <c r="Y22">
        <v>4</v>
      </c>
      <c r="Z22">
        <f t="shared" si="28"/>
        <v>-3</v>
      </c>
      <c r="AA22">
        <f t="shared" si="35"/>
        <v>3</v>
      </c>
      <c r="AS22">
        <v>10</v>
      </c>
      <c r="AT22">
        <v>4</v>
      </c>
      <c r="AU22">
        <f t="shared" si="36"/>
        <v>6</v>
      </c>
      <c r="AV22">
        <f t="shared" si="37"/>
        <v>6</v>
      </c>
    </row>
    <row r="23" spans="1:48" x14ac:dyDescent="0.3">
      <c r="A23" s="26" t="s">
        <v>76</v>
      </c>
      <c r="B23" s="26"/>
      <c r="C23">
        <v>3</v>
      </c>
      <c r="D23">
        <v>10</v>
      </c>
      <c r="E23">
        <f t="shared" si="29"/>
        <v>-7</v>
      </c>
      <c r="F23">
        <f t="shared" si="30"/>
        <v>7</v>
      </c>
      <c r="H23">
        <v>17</v>
      </c>
      <c r="I23">
        <v>10</v>
      </c>
      <c r="J23">
        <f t="shared" si="24"/>
        <v>7</v>
      </c>
      <c r="K23">
        <f t="shared" si="31"/>
        <v>7</v>
      </c>
      <c r="L23">
        <v>9</v>
      </c>
      <c r="M23">
        <v>10</v>
      </c>
      <c r="N23">
        <f t="shared" si="25"/>
        <v>-1</v>
      </c>
      <c r="O23">
        <f t="shared" si="32"/>
        <v>1</v>
      </c>
      <c r="P23">
        <v>15</v>
      </c>
      <c r="Q23">
        <v>10</v>
      </c>
      <c r="R23">
        <f t="shared" si="26"/>
        <v>5</v>
      </c>
      <c r="S23">
        <f t="shared" si="33"/>
        <v>5</v>
      </c>
      <c r="T23">
        <v>19</v>
      </c>
      <c r="U23">
        <v>10</v>
      </c>
      <c r="V23">
        <f t="shared" si="27"/>
        <v>9</v>
      </c>
      <c r="W23">
        <f t="shared" si="34"/>
        <v>9</v>
      </c>
      <c r="X23">
        <v>12</v>
      </c>
      <c r="Y23">
        <v>10</v>
      </c>
      <c r="Z23">
        <f t="shared" si="28"/>
        <v>2</v>
      </c>
      <c r="AA23">
        <f t="shared" si="35"/>
        <v>2</v>
      </c>
      <c r="AS23">
        <v>1</v>
      </c>
      <c r="AT23">
        <v>3</v>
      </c>
      <c r="AU23">
        <f t="shared" si="36"/>
        <v>-2</v>
      </c>
      <c r="AV23">
        <f t="shared" si="37"/>
        <v>2</v>
      </c>
    </row>
    <row r="24" spans="1:48" x14ac:dyDescent="0.3">
      <c r="A24" s="26" t="s">
        <v>155</v>
      </c>
      <c r="B24" s="26"/>
      <c r="C24">
        <v>10</v>
      </c>
      <c r="D24">
        <v>18</v>
      </c>
      <c r="E24">
        <f t="shared" si="29"/>
        <v>-8</v>
      </c>
      <c r="F24">
        <f t="shared" si="30"/>
        <v>8</v>
      </c>
      <c r="H24">
        <v>4</v>
      </c>
      <c r="I24">
        <v>18</v>
      </c>
      <c r="J24">
        <f t="shared" si="24"/>
        <v>-14</v>
      </c>
      <c r="K24">
        <f t="shared" si="31"/>
        <v>14</v>
      </c>
      <c r="L24">
        <v>28</v>
      </c>
      <c r="M24">
        <v>11</v>
      </c>
      <c r="N24">
        <f t="shared" si="25"/>
        <v>17</v>
      </c>
      <c r="O24">
        <f t="shared" si="32"/>
        <v>17</v>
      </c>
      <c r="P24">
        <v>4</v>
      </c>
      <c r="Q24">
        <v>11</v>
      </c>
      <c r="R24">
        <f t="shared" si="26"/>
        <v>-7</v>
      </c>
      <c r="S24">
        <f t="shared" si="33"/>
        <v>7</v>
      </c>
      <c r="T24">
        <v>7</v>
      </c>
      <c r="U24">
        <v>18</v>
      </c>
      <c r="V24">
        <f t="shared" si="27"/>
        <v>-11</v>
      </c>
      <c r="W24">
        <f t="shared" si="34"/>
        <v>11</v>
      </c>
      <c r="X24">
        <v>8</v>
      </c>
      <c r="Y24">
        <v>11</v>
      </c>
      <c r="Z24">
        <f t="shared" si="28"/>
        <v>-3</v>
      </c>
      <c r="AA24">
        <f t="shared" si="35"/>
        <v>3</v>
      </c>
      <c r="AS24">
        <v>20</v>
      </c>
      <c r="AT24">
        <v>10</v>
      </c>
      <c r="AU24">
        <f t="shared" si="36"/>
        <v>10</v>
      </c>
      <c r="AV24">
        <f t="shared" si="37"/>
        <v>10</v>
      </c>
    </row>
    <row r="25" spans="1:48" x14ac:dyDescent="0.3">
      <c r="A25" s="26" t="s">
        <v>74</v>
      </c>
      <c r="B25" s="26"/>
      <c r="C25">
        <v>1</v>
      </c>
      <c r="D25">
        <v>15</v>
      </c>
      <c r="E25">
        <f t="shared" si="29"/>
        <v>-14</v>
      </c>
      <c r="F25">
        <f t="shared" si="30"/>
        <v>14</v>
      </c>
      <c r="H25">
        <v>1</v>
      </c>
      <c r="I25">
        <v>15</v>
      </c>
      <c r="J25">
        <f t="shared" si="24"/>
        <v>-14</v>
      </c>
      <c r="K25">
        <f t="shared" si="31"/>
        <v>14</v>
      </c>
      <c r="L25">
        <v>3</v>
      </c>
      <c r="M25">
        <v>9</v>
      </c>
      <c r="N25">
        <f t="shared" si="25"/>
        <v>-6</v>
      </c>
      <c r="O25">
        <f t="shared" si="32"/>
        <v>6</v>
      </c>
      <c r="P25">
        <v>3</v>
      </c>
      <c r="Q25">
        <v>9</v>
      </c>
      <c r="R25">
        <f t="shared" si="26"/>
        <v>-6</v>
      </c>
      <c r="S25">
        <f t="shared" si="33"/>
        <v>6</v>
      </c>
      <c r="T25">
        <v>2</v>
      </c>
      <c r="U25">
        <v>15</v>
      </c>
      <c r="V25">
        <f t="shared" si="27"/>
        <v>-13</v>
      </c>
      <c r="W25">
        <f t="shared" si="34"/>
        <v>13</v>
      </c>
      <c r="X25">
        <v>1</v>
      </c>
      <c r="Y25">
        <v>9</v>
      </c>
      <c r="Z25">
        <f t="shared" si="28"/>
        <v>-8</v>
      </c>
      <c r="AA25">
        <f t="shared" si="35"/>
        <v>8</v>
      </c>
      <c r="AS25">
        <v>34</v>
      </c>
      <c r="AT25">
        <v>18</v>
      </c>
      <c r="AU25">
        <f t="shared" si="36"/>
        <v>16</v>
      </c>
      <c r="AV25">
        <f t="shared" si="37"/>
        <v>16</v>
      </c>
    </row>
    <row r="26" spans="1:48" x14ac:dyDescent="0.3">
      <c r="A26" s="27" t="s">
        <v>75</v>
      </c>
      <c r="B26" s="27"/>
      <c r="C26">
        <v>12</v>
      </c>
      <c r="D26">
        <v>12</v>
      </c>
      <c r="E26">
        <f t="shared" si="29"/>
        <v>0</v>
      </c>
      <c r="F26">
        <f t="shared" si="30"/>
        <v>0</v>
      </c>
      <c r="H26">
        <v>5</v>
      </c>
      <c r="I26">
        <v>12</v>
      </c>
      <c r="J26">
        <f t="shared" si="24"/>
        <v>-7</v>
      </c>
      <c r="K26">
        <f t="shared" si="31"/>
        <v>7</v>
      </c>
      <c r="L26">
        <v>5</v>
      </c>
      <c r="M26">
        <v>5</v>
      </c>
      <c r="N26">
        <f t="shared" si="25"/>
        <v>0</v>
      </c>
      <c r="O26">
        <f t="shared" si="32"/>
        <v>0</v>
      </c>
      <c r="P26">
        <v>12</v>
      </c>
      <c r="Q26">
        <v>5</v>
      </c>
      <c r="R26">
        <f t="shared" si="26"/>
        <v>7</v>
      </c>
      <c r="S26">
        <f t="shared" si="33"/>
        <v>7</v>
      </c>
      <c r="T26">
        <v>15</v>
      </c>
      <c r="U26">
        <v>12</v>
      </c>
      <c r="V26">
        <f t="shared" si="27"/>
        <v>3</v>
      </c>
      <c r="W26">
        <f t="shared" si="34"/>
        <v>3</v>
      </c>
      <c r="X26">
        <v>34</v>
      </c>
      <c r="Y26">
        <v>5</v>
      </c>
      <c r="Z26">
        <f t="shared" si="28"/>
        <v>29</v>
      </c>
      <c r="AA26">
        <f t="shared" si="35"/>
        <v>29</v>
      </c>
      <c r="AS26">
        <v>0</v>
      </c>
      <c r="AT26">
        <v>15</v>
      </c>
      <c r="AU26">
        <f t="shared" si="36"/>
        <v>-15</v>
      </c>
      <c r="AV26">
        <f t="shared" si="37"/>
        <v>15</v>
      </c>
    </row>
    <row r="27" spans="1:48" x14ac:dyDescent="0.3">
      <c r="A27" t="s">
        <v>150</v>
      </c>
      <c r="C27">
        <f>SUM(C18:C26)</f>
        <v>100</v>
      </c>
      <c r="D27">
        <f>SUM(D18:D26)</f>
        <v>100</v>
      </c>
      <c r="E27">
        <f>SUM(E18:E26)</f>
        <v>0</v>
      </c>
      <c r="F27">
        <f>SUM(F18:F26)</f>
        <v>66</v>
      </c>
      <c r="H27">
        <f t="shared" ref="H27:AA27" si="38">SUM(H18:H26)</f>
        <v>100</v>
      </c>
      <c r="I27">
        <f t="shared" si="38"/>
        <v>100</v>
      </c>
      <c r="J27">
        <f t="shared" si="38"/>
        <v>0</v>
      </c>
      <c r="K27">
        <f t="shared" si="38"/>
        <v>82</v>
      </c>
      <c r="L27">
        <f t="shared" si="38"/>
        <v>100</v>
      </c>
      <c r="M27">
        <f t="shared" si="38"/>
        <v>100</v>
      </c>
      <c r="N27">
        <f t="shared" si="38"/>
        <v>0</v>
      </c>
      <c r="O27">
        <f t="shared" si="38"/>
        <v>40</v>
      </c>
      <c r="P27">
        <f t="shared" si="38"/>
        <v>100</v>
      </c>
      <c r="Q27">
        <f t="shared" si="38"/>
        <v>100</v>
      </c>
      <c r="R27">
        <f t="shared" si="38"/>
        <v>0</v>
      </c>
      <c r="S27">
        <f t="shared" si="38"/>
        <v>34</v>
      </c>
      <c r="T27">
        <f t="shared" si="38"/>
        <v>100</v>
      </c>
      <c r="U27">
        <f t="shared" si="38"/>
        <v>100</v>
      </c>
      <c r="V27">
        <f t="shared" si="38"/>
        <v>0</v>
      </c>
      <c r="W27">
        <f t="shared" si="38"/>
        <v>64</v>
      </c>
      <c r="X27">
        <f t="shared" si="38"/>
        <v>100</v>
      </c>
      <c r="Y27">
        <f t="shared" si="38"/>
        <v>100</v>
      </c>
      <c r="Z27">
        <f t="shared" si="38"/>
        <v>0</v>
      </c>
      <c r="AA27">
        <f t="shared" si="38"/>
        <v>62</v>
      </c>
      <c r="AS27">
        <v>5</v>
      </c>
      <c r="AT27">
        <v>12</v>
      </c>
      <c r="AU27">
        <f t="shared" si="36"/>
        <v>-7</v>
      </c>
      <c r="AV27">
        <f t="shared" si="37"/>
        <v>7</v>
      </c>
    </row>
    <row r="28" spans="1:48" x14ac:dyDescent="0.3">
      <c r="A28" s="26"/>
      <c r="B28" s="26"/>
      <c r="AS28">
        <f>SUM(AS19:AS27)</f>
        <v>100</v>
      </c>
      <c r="AT28">
        <f>SUM(AT19:AT27)</f>
        <v>100</v>
      </c>
      <c r="AU28">
        <f>SUM(AU19:AU27)</f>
        <v>0</v>
      </c>
      <c r="AV28">
        <f>SUM(AV19:AV27)</f>
        <v>88</v>
      </c>
    </row>
    <row r="29" spans="1:48" x14ac:dyDescent="0.3">
      <c r="A29" s="27"/>
      <c r="B29" s="27"/>
      <c r="C29" s="47" t="s">
        <v>153</v>
      </c>
      <c r="D29" s="47"/>
      <c r="E29" s="47"/>
      <c r="F29" s="47"/>
      <c r="H29" s="47" t="s">
        <v>156</v>
      </c>
      <c r="I29" s="47"/>
      <c r="J29" s="47"/>
      <c r="K29" s="47"/>
      <c r="L29" s="47" t="s">
        <v>157</v>
      </c>
      <c r="M29" s="47"/>
      <c r="N29" s="47"/>
      <c r="O29" s="47"/>
      <c r="T29" s="47" t="s">
        <v>161</v>
      </c>
      <c r="U29" s="47"/>
      <c r="V29" s="47"/>
      <c r="W29" s="47"/>
      <c r="X29" s="47" t="s">
        <v>163</v>
      </c>
      <c r="Y29" s="47"/>
      <c r="Z29" s="47"/>
      <c r="AA29" s="47"/>
    </row>
    <row r="30" spans="1:48" ht="28.5" x14ac:dyDescent="0.3">
      <c r="A30" s="26"/>
      <c r="B30" s="26"/>
      <c r="C30" s="28" t="s">
        <v>144</v>
      </c>
      <c r="D30" s="29" t="s">
        <v>149</v>
      </c>
      <c r="E30" s="28" t="s">
        <v>145</v>
      </c>
      <c r="F30" s="28" t="s">
        <v>151</v>
      </c>
      <c r="H30" s="28" t="s">
        <v>144</v>
      </c>
      <c r="I30" s="29" t="s">
        <v>149</v>
      </c>
      <c r="J30" s="28" t="s">
        <v>145</v>
      </c>
      <c r="K30" s="28" t="s">
        <v>152</v>
      </c>
      <c r="L30" s="28" t="s">
        <v>144</v>
      </c>
      <c r="M30" s="29" t="s">
        <v>149</v>
      </c>
      <c r="N30" s="28" t="s">
        <v>145</v>
      </c>
      <c r="O30" s="28" t="s">
        <v>152</v>
      </c>
      <c r="T30" s="28" t="s">
        <v>144</v>
      </c>
      <c r="U30" s="29" t="s">
        <v>149</v>
      </c>
      <c r="V30" s="28" t="s">
        <v>145</v>
      </c>
      <c r="W30" s="28" t="s">
        <v>152</v>
      </c>
      <c r="X30" s="28" t="s">
        <v>144</v>
      </c>
      <c r="Y30" s="29" t="s">
        <v>159</v>
      </c>
      <c r="Z30" s="28" t="s">
        <v>145</v>
      </c>
      <c r="AA30" s="28" t="s">
        <v>152</v>
      </c>
    </row>
    <row r="31" spans="1:48" x14ac:dyDescent="0.3">
      <c r="A31" s="26" t="s">
        <v>69</v>
      </c>
      <c r="B31" s="26"/>
      <c r="C31">
        <v>45</v>
      </c>
      <c r="D31">
        <v>20</v>
      </c>
      <c r="E31">
        <f>C31-D31</f>
        <v>25</v>
      </c>
      <c r="F31">
        <f>(E31*E31)^(0.5)</f>
        <v>25</v>
      </c>
      <c r="H31">
        <v>36</v>
      </c>
      <c r="I31">
        <v>20</v>
      </c>
      <c r="J31">
        <f t="shared" ref="J31:J39" si="39">H31-I31</f>
        <v>16</v>
      </c>
      <c r="K31">
        <f>(J31*J31)^(0.5)</f>
        <v>16</v>
      </c>
      <c r="L31">
        <v>20</v>
      </c>
      <c r="M31">
        <v>20</v>
      </c>
      <c r="N31">
        <f t="shared" ref="N31:N39" si="40">L31-M31</f>
        <v>0</v>
      </c>
      <c r="O31">
        <f>(N31*N31)^(0.5)</f>
        <v>0</v>
      </c>
      <c r="T31">
        <v>22</v>
      </c>
      <c r="U31">
        <v>15</v>
      </c>
      <c r="V31">
        <f t="shared" ref="V31:V39" si="41">T31-U31</f>
        <v>7</v>
      </c>
      <c r="W31">
        <f>(V31*V31)^(0.5)</f>
        <v>7</v>
      </c>
      <c r="X31">
        <v>15</v>
      </c>
      <c r="Y31">
        <v>25</v>
      </c>
      <c r="Z31">
        <f t="shared" ref="Z31:Z39" si="42">X31-Y31</f>
        <v>-10</v>
      </c>
      <c r="AA31">
        <f>(Z31*Z31)^(0.5)</f>
        <v>10</v>
      </c>
    </row>
    <row r="32" spans="1:48" x14ac:dyDescent="0.3">
      <c r="A32" s="27" t="s">
        <v>70</v>
      </c>
      <c r="B32" s="26"/>
      <c r="C32">
        <v>10</v>
      </c>
      <c r="D32">
        <v>10</v>
      </c>
      <c r="E32">
        <f t="shared" ref="E32:E39" si="43">C32-D32</f>
        <v>0</v>
      </c>
      <c r="F32">
        <f t="shared" ref="F32:F39" si="44">(E32*E32)^(0.5)</f>
        <v>0</v>
      </c>
      <c r="H32">
        <v>15</v>
      </c>
      <c r="I32">
        <v>10</v>
      </c>
      <c r="J32">
        <f t="shared" si="39"/>
        <v>5</v>
      </c>
      <c r="K32">
        <f t="shared" ref="K32:K39" si="45">(J32*J32)^(0.5)</f>
        <v>5</v>
      </c>
      <c r="L32">
        <v>27</v>
      </c>
      <c r="M32">
        <v>10</v>
      </c>
      <c r="N32">
        <f t="shared" si="40"/>
        <v>17</v>
      </c>
      <c r="O32">
        <f t="shared" ref="O32:O39" si="46">(N32*N32)^(0.5)</f>
        <v>17</v>
      </c>
      <c r="T32">
        <v>17</v>
      </c>
      <c r="U32">
        <v>6</v>
      </c>
      <c r="V32">
        <f t="shared" si="41"/>
        <v>11</v>
      </c>
      <c r="W32">
        <f t="shared" ref="W32:W39" si="47">(V32*V32)^(0.5)</f>
        <v>11</v>
      </c>
      <c r="X32">
        <v>16</v>
      </c>
      <c r="Y32">
        <v>15</v>
      </c>
      <c r="Z32">
        <f t="shared" si="42"/>
        <v>1</v>
      </c>
      <c r="AA32">
        <f t="shared" ref="AA32:AA39" si="48">(Z32*Z32)^(0.5)</f>
        <v>1</v>
      </c>
    </row>
    <row r="33" spans="1:35" x14ac:dyDescent="0.3">
      <c r="A33" s="26" t="s">
        <v>71</v>
      </c>
      <c r="B33" s="26"/>
      <c r="C33">
        <v>8</v>
      </c>
      <c r="D33">
        <v>8</v>
      </c>
      <c r="E33">
        <f t="shared" si="43"/>
        <v>0</v>
      </c>
      <c r="F33">
        <f t="shared" si="44"/>
        <v>0</v>
      </c>
      <c r="H33">
        <v>10</v>
      </c>
      <c r="I33">
        <v>8</v>
      </c>
      <c r="J33">
        <f t="shared" si="39"/>
        <v>2</v>
      </c>
      <c r="K33">
        <f t="shared" si="45"/>
        <v>2</v>
      </c>
      <c r="L33">
        <v>16</v>
      </c>
      <c r="M33">
        <v>8</v>
      </c>
      <c r="N33">
        <f t="shared" si="40"/>
        <v>8</v>
      </c>
      <c r="O33">
        <f t="shared" si="46"/>
        <v>8</v>
      </c>
      <c r="T33">
        <v>5</v>
      </c>
      <c r="U33">
        <v>4</v>
      </c>
      <c r="V33">
        <f t="shared" si="41"/>
        <v>1</v>
      </c>
      <c r="W33">
        <f t="shared" si="47"/>
        <v>1</v>
      </c>
      <c r="X33">
        <v>19</v>
      </c>
      <c r="Y33">
        <v>14</v>
      </c>
      <c r="Z33">
        <f t="shared" si="42"/>
        <v>5</v>
      </c>
      <c r="AA33">
        <f t="shared" si="48"/>
        <v>5</v>
      </c>
    </row>
    <row r="34" spans="1:35" x14ac:dyDescent="0.3">
      <c r="A34" s="27" t="s">
        <v>72</v>
      </c>
      <c r="B34" s="27"/>
      <c r="C34">
        <v>1</v>
      </c>
      <c r="D34">
        <v>4</v>
      </c>
      <c r="E34">
        <f t="shared" si="43"/>
        <v>-3</v>
      </c>
      <c r="F34">
        <f t="shared" si="44"/>
        <v>3</v>
      </c>
      <c r="H34">
        <v>1</v>
      </c>
      <c r="I34">
        <v>4</v>
      </c>
      <c r="J34">
        <f t="shared" si="39"/>
        <v>-3</v>
      </c>
      <c r="K34">
        <f t="shared" si="45"/>
        <v>3</v>
      </c>
      <c r="L34">
        <v>7</v>
      </c>
      <c r="M34">
        <v>4</v>
      </c>
      <c r="N34">
        <f t="shared" si="40"/>
        <v>3</v>
      </c>
      <c r="O34">
        <f t="shared" si="46"/>
        <v>3</v>
      </c>
      <c r="T34">
        <v>1</v>
      </c>
      <c r="U34">
        <v>3</v>
      </c>
      <c r="V34">
        <f t="shared" si="41"/>
        <v>-2</v>
      </c>
      <c r="W34">
        <f t="shared" si="47"/>
        <v>2</v>
      </c>
      <c r="X34">
        <v>6</v>
      </c>
      <c r="Y34">
        <v>7</v>
      </c>
      <c r="Z34">
        <f t="shared" si="42"/>
        <v>-1</v>
      </c>
      <c r="AA34">
        <f t="shared" si="48"/>
        <v>1</v>
      </c>
    </row>
    <row r="35" spans="1:35" x14ac:dyDescent="0.3">
      <c r="A35" s="26" t="s">
        <v>77</v>
      </c>
      <c r="C35">
        <v>0</v>
      </c>
      <c r="D35">
        <v>3</v>
      </c>
      <c r="E35">
        <f t="shared" si="43"/>
        <v>-3</v>
      </c>
      <c r="F35">
        <f t="shared" si="44"/>
        <v>3</v>
      </c>
      <c r="H35">
        <v>0</v>
      </c>
      <c r="I35">
        <v>3</v>
      </c>
      <c r="J35">
        <f t="shared" si="39"/>
        <v>-3</v>
      </c>
      <c r="K35">
        <f t="shared" si="45"/>
        <v>3</v>
      </c>
      <c r="L35">
        <v>1</v>
      </c>
      <c r="M35">
        <v>3</v>
      </c>
      <c r="N35">
        <f t="shared" si="40"/>
        <v>-2</v>
      </c>
      <c r="O35">
        <f t="shared" si="46"/>
        <v>2</v>
      </c>
      <c r="T35">
        <v>0</v>
      </c>
      <c r="U35">
        <v>2</v>
      </c>
      <c r="V35">
        <f t="shared" si="41"/>
        <v>-2</v>
      </c>
      <c r="W35">
        <f t="shared" si="47"/>
        <v>2</v>
      </c>
      <c r="X35">
        <v>1</v>
      </c>
      <c r="Y35">
        <v>4</v>
      </c>
      <c r="Z35">
        <f t="shared" si="42"/>
        <v>-3</v>
      </c>
      <c r="AA35">
        <f t="shared" si="48"/>
        <v>3</v>
      </c>
    </row>
    <row r="36" spans="1:35" x14ac:dyDescent="0.3">
      <c r="A36" s="26" t="s">
        <v>76</v>
      </c>
      <c r="C36">
        <v>4</v>
      </c>
      <c r="D36">
        <v>10</v>
      </c>
      <c r="E36">
        <f t="shared" si="43"/>
        <v>-6</v>
      </c>
      <c r="F36">
        <f t="shared" si="44"/>
        <v>6</v>
      </c>
      <c r="H36">
        <v>14</v>
      </c>
      <c r="I36">
        <v>10</v>
      </c>
      <c r="J36">
        <f t="shared" si="39"/>
        <v>4</v>
      </c>
      <c r="K36">
        <f t="shared" si="45"/>
        <v>4</v>
      </c>
      <c r="L36">
        <v>16</v>
      </c>
      <c r="M36">
        <v>10</v>
      </c>
      <c r="N36">
        <f t="shared" si="40"/>
        <v>6</v>
      </c>
      <c r="O36">
        <f t="shared" si="46"/>
        <v>6</v>
      </c>
      <c r="T36">
        <v>19</v>
      </c>
      <c r="U36">
        <v>10</v>
      </c>
      <c r="V36">
        <f t="shared" si="41"/>
        <v>9</v>
      </c>
      <c r="W36">
        <f t="shared" si="47"/>
        <v>9</v>
      </c>
      <c r="X36">
        <v>22</v>
      </c>
      <c r="Y36">
        <v>10</v>
      </c>
      <c r="Z36">
        <f t="shared" si="42"/>
        <v>12</v>
      </c>
      <c r="AA36">
        <f t="shared" si="48"/>
        <v>12</v>
      </c>
    </row>
    <row r="37" spans="1:35" x14ac:dyDescent="0.3">
      <c r="A37" s="26" t="s">
        <v>155</v>
      </c>
      <c r="B37" s="26"/>
      <c r="C37">
        <v>12</v>
      </c>
      <c r="D37">
        <v>18</v>
      </c>
      <c r="E37">
        <f t="shared" si="43"/>
        <v>-6</v>
      </c>
      <c r="F37">
        <f t="shared" si="44"/>
        <v>6</v>
      </c>
      <c r="H37">
        <v>7</v>
      </c>
      <c r="I37">
        <v>18</v>
      </c>
      <c r="J37">
        <f t="shared" si="39"/>
        <v>-11</v>
      </c>
      <c r="K37">
        <f t="shared" si="45"/>
        <v>11</v>
      </c>
      <c r="L37">
        <v>7</v>
      </c>
      <c r="M37">
        <v>18</v>
      </c>
      <c r="N37">
        <f t="shared" si="40"/>
        <v>-11</v>
      </c>
      <c r="O37">
        <f t="shared" si="46"/>
        <v>11</v>
      </c>
      <c r="T37">
        <v>2</v>
      </c>
      <c r="U37">
        <v>20</v>
      </c>
      <c r="V37">
        <f t="shared" si="41"/>
        <v>-18</v>
      </c>
      <c r="W37">
        <f t="shared" si="47"/>
        <v>18</v>
      </c>
      <c r="X37">
        <v>2</v>
      </c>
      <c r="Y37">
        <v>11</v>
      </c>
      <c r="Z37">
        <f t="shared" si="42"/>
        <v>-9</v>
      </c>
      <c r="AA37">
        <f t="shared" si="48"/>
        <v>9</v>
      </c>
    </row>
    <row r="38" spans="1:35" x14ac:dyDescent="0.3">
      <c r="A38" s="26" t="s">
        <v>74</v>
      </c>
      <c r="B38" s="27"/>
      <c r="C38">
        <v>5</v>
      </c>
      <c r="D38">
        <v>15</v>
      </c>
      <c r="E38">
        <f t="shared" si="43"/>
        <v>-10</v>
      </c>
      <c r="F38">
        <f t="shared" si="44"/>
        <v>10</v>
      </c>
      <c r="H38">
        <v>1</v>
      </c>
      <c r="I38">
        <v>15</v>
      </c>
      <c r="J38">
        <f t="shared" si="39"/>
        <v>-14</v>
      </c>
      <c r="K38">
        <f t="shared" si="45"/>
        <v>14</v>
      </c>
      <c r="L38">
        <v>6</v>
      </c>
      <c r="M38">
        <v>15</v>
      </c>
      <c r="N38">
        <f t="shared" si="40"/>
        <v>-9</v>
      </c>
      <c r="O38">
        <f t="shared" si="46"/>
        <v>9</v>
      </c>
      <c r="T38">
        <v>1</v>
      </c>
      <c r="U38">
        <v>20</v>
      </c>
      <c r="V38">
        <f t="shared" si="41"/>
        <v>-19</v>
      </c>
      <c r="W38">
        <f t="shared" si="47"/>
        <v>19</v>
      </c>
      <c r="X38">
        <v>2</v>
      </c>
      <c r="Y38">
        <v>9</v>
      </c>
      <c r="Z38">
        <f t="shared" si="42"/>
        <v>-7</v>
      </c>
      <c r="AA38">
        <f t="shared" si="48"/>
        <v>7</v>
      </c>
    </row>
    <row r="39" spans="1:35" x14ac:dyDescent="0.3">
      <c r="A39" s="27" t="s">
        <v>75</v>
      </c>
      <c r="B39" s="26"/>
      <c r="C39">
        <v>15</v>
      </c>
      <c r="D39">
        <v>12</v>
      </c>
      <c r="E39">
        <f t="shared" si="43"/>
        <v>3</v>
      </c>
      <c r="F39">
        <f t="shared" si="44"/>
        <v>3</v>
      </c>
      <c r="H39">
        <v>16</v>
      </c>
      <c r="I39">
        <v>12</v>
      </c>
      <c r="J39">
        <f t="shared" si="39"/>
        <v>4</v>
      </c>
      <c r="K39">
        <f t="shared" si="45"/>
        <v>4</v>
      </c>
      <c r="L39">
        <v>0</v>
      </c>
      <c r="M39">
        <v>12</v>
      </c>
      <c r="N39">
        <f t="shared" si="40"/>
        <v>-12</v>
      </c>
      <c r="O39">
        <f t="shared" si="46"/>
        <v>12</v>
      </c>
      <c r="T39">
        <v>33</v>
      </c>
      <c r="U39">
        <v>12</v>
      </c>
      <c r="V39">
        <f t="shared" si="41"/>
        <v>21</v>
      </c>
      <c r="W39">
        <f t="shared" si="47"/>
        <v>21</v>
      </c>
      <c r="X39">
        <v>17</v>
      </c>
      <c r="Y39">
        <v>5</v>
      </c>
      <c r="Z39">
        <f t="shared" si="42"/>
        <v>12</v>
      </c>
      <c r="AA39">
        <f t="shared" si="48"/>
        <v>12</v>
      </c>
    </row>
    <row r="40" spans="1:35" x14ac:dyDescent="0.3">
      <c r="A40" t="s">
        <v>150</v>
      </c>
      <c r="B40" s="27"/>
      <c r="C40">
        <f>SUM(C31:C39)</f>
        <v>100</v>
      </c>
      <c r="D40">
        <f>SUM(D31:D39)</f>
        <v>100</v>
      </c>
      <c r="E40">
        <f>SUM(E31:E39)</f>
        <v>0</v>
      </c>
      <c r="F40">
        <f>SUM(F31:F39)</f>
        <v>56</v>
      </c>
      <c r="H40">
        <f t="shared" ref="H40:O40" si="49">SUM(H31:H39)</f>
        <v>100</v>
      </c>
      <c r="I40">
        <f t="shared" si="49"/>
        <v>100</v>
      </c>
      <c r="J40">
        <f t="shared" si="49"/>
        <v>0</v>
      </c>
      <c r="K40">
        <f t="shared" si="49"/>
        <v>62</v>
      </c>
      <c r="L40">
        <f t="shared" si="49"/>
        <v>100</v>
      </c>
      <c r="M40">
        <f t="shared" si="49"/>
        <v>100</v>
      </c>
      <c r="N40">
        <f t="shared" si="49"/>
        <v>0</v>
      </c>
      <c r="O40">
        <f t="shared" si="49"/>
        <v>68</v>
      </c>
      <c r="T40">
        <f t="shared" ref="T40:AA40" si="50">SUM(T31:T39)</f>
        <v>100</v>
      </c>
      <c r="U40">
        <f t="shared" si="50"/>
        <v>92</v>
      </c>
      <c r="V40">
        <f t="shared" si="50"/>
        <v>8</v>
      </c>
      <c r="W40">
        <f t="shared" si="50"/>
        <v>90</v>
      </c>
      <c r="X40">
        <f t="shared" si="50"/>
        <v>100</v>
      </c>
      <c r="Y40">
        <f t="shared" si="50"/>
        <v>100</v>
      </c>
      <c r="Z40">
        <f t="shared" si="50"/>
        <v>0</v>
      </c>
      <c r="AA40">
        <f t="shared" si="50"/>
        <v>60</v>
      </c>
    </row>
    <row r="41" spans="1:35" x14ac:dyDescent="0.3">
      <c r="A41" s="26"/>
      <c r="B41" s="26"/>
    </row>
    <row r="42" spans="1:35" x14ac:dyDescent="0.3">
      <c r="A42" s="26"/>
      <c r="B42" s="26"/>
    </row>
    <row r="43" spans="1:35" x14ac:dyDescent="0.3">
      <c r="A43" s="26"/>
      <c r="B43" s="26"/>
      <c r="C43" s="47" t="s">
        <v>164</v>
      </c>
      <c r="D43" s="47"/>
      <c r="E43" s="47"/>
      <c r="F43" s="47"/>
      <c r="H43" s="47" t="s">
        <v>165</v>
      </c>
      <c r="I43" s="47"/>
      <c r="J43" s="47"/>
      <c r="K43" s="47"/>
      <c r="L43" s="47" t="s">
        <v>167</v>
      </c>
      <c r="M43" s="47"/>
      <c r="N43" s="47"/>
      <c r="O43" s="47"/>
      <c r="P43" s="47" t="s">
        <v>168</v>
      </c>
      <c r="Q43" s="47"/>
      <c r="R43" s="47"/>
      <c r="S43" s="47"/>
      <c r="T43" s="47" t="s">
        <v>169</v>
      </c>
      <c r="U43" s="47"/>
      <c r="V43" s="47"/>
      <c r="W43" s="47"/>
      <c r="X43" s="47" t="s">
        <v>170</v>
      </c>
      <c r="Y43" s="47"/>
      <c r="Z43" s="47"/>
      <c r="AA43" s="47"/>
      <c r="AB43" s="47" t="s">
        <v>171</v>
      </c>
      <c r="AC43" s="47"/>
      <c r="AD43" s="47"/>
      <c r="AE43" s="47"/>
      <c r="AF43" s="47" t="s">
        <v>172</v>
      </c>
      <c r="AG43" s="47"/>
      <c r="AH43" s="47"/>
      <c r="AI43" s="47"/>
    </row>
    <row r="44" spans="1:35" ht="28.5" x14ac:dyDescent="0.3">
      <c r="B44" s="26"/>
      <c r="C44" s="28" t="s">
        <v>144</v>
      </c>
      <c r="D44" s="29" t="s">
        <v>159</v>
      </c>
      <c r="E44" s="28" t="s">
        <v>145</v>
      </c>
      <c r="F44" s="28" t="s">
        <v>151</v>
      </c>
      <c r="H44" s="28" t="s">
        <v>144</v>
      </c>
      <c r="I44" s="29" t="s">
        <v>166</v>
      </c>
      <c r="J44" s="28" t="s">
        <v>145</v>
      </c>
      <c r="K44" s="28" t="s">
        <v>151</v>
      </c>
      <c r="L44" s="28" t="s">
        <v>144</v>
      </c>
      <c r="M44" s="29" t="s">
        <v>166</v>
      </c>
      <c r="N44" s="28" t="s">
        <v>145</v>
      </c>
      <c r="O44" s="28" t="s">
        <v>151</v>
      </c>
      <c r="P44" s="28" t="s">
        <v>144</v>
      </c>
      <c r="Q44" s="29" t="s">
        <v>166</v>
      </c>
      <c r="R44" s="28" t="s">
        <v>145</v>
      </c>
      <c r="S44" s="28" t="s">
        <v>151</v>
      </c>
      <c r="T44" s="28" t="s">
        <v>144</v>
      </c>
      <c r="U44" s="29" t="s">
        <v>149</v>
      </c>
      <c r="V44" s="28" t="s">
        <v>145</v>
      </c>
      <c r="W44" s="28" t="s">
        <v>152</v>
      </c>
      <c r="X44" s="28" t="s">
        <v>144</v>
      </c>
      <c r="Y44" s="29" t="s">
        <v>166</v>
      </c>
      <c r="Z44" s="28" t="s">
        <v>145</v>
      </c>
      <c r="AA44" s="28" t="s">
        <v>151</v>
      </c>
      <c r="AB44" s="28" t="s">
        <v>144</v>
      </c>
      <c r="AC44" s="29" t="s">
        <v>166</v>
      </c>
      <c r="AD44" s="28" t="s">
        <v>145</v>
      </c>
      <c r="AE44" s="28" t="s">
        <v>151</v>
      </c>
      <c r="AF44" s="28" t="s">
        <v>144</v>
      </c>
      <c r="AG44" s="29" t="s">
        <v>166</v>
      </c>
      <c r="AH44" s="28" t="s">
        <v>145</v>
      </c>
      <c r="AI44" s="28" t="s">
        <v>151</v>
      </c>
    </row>
    <row r="45" spans="1:35" x14ac:dyDescent="0.3">
      <c r="A45" s="26" t="s">
        <v>69</v>
      </c>
      <c r="B45" s="27"/>
      <c r="C45">
        <v>21</v>
      </c>
      <c r="D45">
        <v>25</v>
      </c>
      <c r="E45">
        <f>C45-D45</f>
        <v>-4</v>
      </c>
      <c r="F45">
        <f>(E45*E45)^(0.5)</f>
        <v>4</v>
      </c>
      <c r="H45">
        <v>0</v>
      </c>
      <c r="I45">
        <v>15</v>
      </c>
      <c r="J45">
        <f>H45-I45</f>
        <v>-15</v>
      </c>
      <c r="K45">
        <f>(J45*J45)^(0.5)</f>
        <v>15</v>
      </c>
      <c r="L45">
        <v>29</v>
      </c>
      <c r="M45">
        <v>15</v>
      </c>
      <c r="N45">
        <f>L45-M45</f>
        <v>14</v>
      </c>
      <c r="O45">
        <f>(N45*N45)^(0.5)</f>
        <v>14</v>
      </c>
      <c r="P45">
        <v>22</v>
      </c>
      <c r="Q45">
        <v>15</v>
      </c>
      <c r="R45">
        <f>P45-Q45</f>
        <v>7</v>
      </c>
      <c r="S45">
        <f>(R45*R45)^(0.5)</f>
        <v>7</v>
      </c>
      <c r="T45">
        <v>12</v>
      </c>
      <c r="U45">
        <v>15</v>
      </c>
      <c r="V45">
        <f t="shared" ref="V45:V53" si="51">T45-U45</f>
        <v>-3</v>
      </c>
      <c r="W45">
        <f>(V45*V45)^(0.5)</f>
        <v>3</v>
      </c>
      <c r="X45">
        <v>0</v>
      </c>
      <c r="Y45">
        <v>15</v>
      </c>
      <c r="Z45">
        <f>X45-Y45</f>
        <v>-15</v>
      </c>
      <c r="AA45">
        <f>(Z45*Z45)^(0.5)</f>
        <v>15</v>
      </c>
      <c r="AB45">
        <v>0</v>
      </c>
      <c r="AC45">
        <v>15</v>
      </c>
      <c r="AD45">
        <f>AB45-AC45</f>
        <v>-15</v>
      </c>
      <c r="AE45">
        <f>(AD45*AD45)^(0.5)</f>
        <v>15</v>
      </c>
      <c r="AF45">
        <v>0</v>
      </c>
      <c r="AG45">
        <v>15</v>
      </c>
      <c r="AH45">
        <f>AF45-AG45</f>
        <v>-15</v>
      </c>
      <c r="AI45">
        <f>(AH45*AH45)^(0.5)</f>
        <v>15</v>
      </c>
    </row>
    <row r="46" spans="1:35" x14ac:dyDescent="0.3">
      <c r="A46" s="27" t="s">
        <v>70</v>
      </c>
      <c r="C46">
        <v>18</v>
      </c>
      <c r="D46">
        <v>15</v>
      </c>
      <c r="E46">
        <f t="shared" ref="E46:E53" si="52">C46-D46</f>
        <v>3</v>
      </c>
      <c r="F46">
        <f t="shared" ref="F46:F53" si="53">(E46*E46)^(0.5)</f>
        <v>3</v>
      </c>
      <c r="H46">
        <v>25</v>
      </c>
      <c r="I46">
        <v>6</v>
      </c>
      <c r="J46">
        <f t="shared" ref="J46:J53" si="54">H46-I46</f>
        <v>19</v>
      </c>
      <c r="K46">
        <f t="shared" ref="K46:K53" si="55">(J46*J46)^(0.5)</f>
        <v>19</v>
      </c>
      <c r="L46">
        <v>9</v>
      </c>
      <c r="M46">
        <v>6</v>
      </c>
      <c r="N46">
        <f t="shared" ref="N46:N53" si="56">L46-M46</f>
        <v>3</v>
      </c>
      <c r="O46">
        <f t="shared" ref="O46:O53" si="57">(N46*N46)^(0.5)</f>
        <v>3</v>
      </c>
      <c r="P46">
        <v>11</v>
      </c>
      <c r="Q46">
        <v>6</v>
      </c>
      <c r="R46">
        <f t="shared" ref="R46:R53" si="58">P46-Q46</f>
        <v>5</v>
      </c>
      <c r="S46">
        <f t="shared" ref="S46:S53" si="59">(R46*R46)^(0.5)</f>
        <v>5</v>
      </c>
      <c r="T46">
        <v>22</v>
      </c>
      <c r="U46">
        <v>6</v>
      </c>
      <c r="V46">
        <f t="shared" si="51"/>
        <v>16</v>
      </c>
      <c r="W46">
        <f t="shared" ref="W46:W53" si="60">(V46*V46)^(0.5)</f>
        <v>16</v>
      </c>
      <c r="X46">
        <v>10</v>
      </c>
      <c r="Y46">
        <v>6</v>
      </c>
      <c r="Z46">
        <f t="shared" ref="Z46:Z53" si="61">X46-Y46</f>
        <v>4</v>
      </c>
      <c r="AA46">
        <f t="shared" ref="AA46:AA53" si="62">(Z46*Z46)^(0.5)</f>
        <v>4</v>
      </c>
      <c r="AB46">
        <v>11</v>
      </c>
      <c r="AC46">
        <v>6</v>
      </c>
      <c r="AD46">
        <f t="shared" ref="AD46:AD53" si="63">AB46-AC46</f>
        <v>5</v>
      </c>
      <c r="AE46">
        <f t="shared" ref="AE46:AE53" si="64">(AD46*AD46)^(0.5)</f>
        <v>5</v>
      </c>
      <c r="AF46">
        <v>34</v>
      </c>
      <c r="AG46">
        <v>6</v>
      </c>
      <c r="AH46">
        <f t="shared" ref="AH46:AH53" si="65">AF46-AG46</f>
        <v>28</v>
      </c>
      <c r="AI46">
        <f t="shared" ref="AI46:AI53" si="66">(AH46*AH46)^(0.5)</f>
        <v>28</v>
      </c>
    </row>
    <row r="47" spans="1:35" x14ac:dyDescent="0.3">
      <c r="A47" s="26" t="s">
        <v>71</v>
      </c>
      <c r="C47">
        <v>8</v>
      </c>
      <c r="D47">
        <v>14</v>
      </c>
      <c r="E47">
        <f t="shared" si="52"/>
        <v>-6</v>
      </c>
      <c r="F47">
        <f t="shared" si="53"/>
        <v>6</v>
      </c>
      <c r="H47">
        <v>1</v>
      </c>
      <c r="I47">
        <v>4</v>
      </c>
      <c r="J47">
        <f t="shared" si="54"/>
        <v>-3</v>
      </c>
      <c r="K47">
        <f t="shared" si="55"/>
        <v>3</v>
      </c>
      <c r="L47">
        <v>1</v>
      </c>
      <c r="M47">
        <v>4</v>
      </c>
      <c r="N47">
        <f t="shared" si="56"/>
        <v>-3</v>
      </c>
      <c r="O47">
        <f t="shared" si="57"/>
        <v>3</v>
      </c>
      <c r="P47">
        <v>2</v>
      </c>
      <c r="Q47">
        <v>4</v>
      </c>
      <c r="R47">
        <f t="shared" si="58"/>
        <v>-2</v>
      </c>
      <c r="S47">
        <f t="shared" si="59"/>
        <v>2</v>
      </c>
      <c r="T47">
        <v>2</v>
      </c>
      <c r="U47">
        <v>4</v>
      </c>
      <c r="V47">
        <f t="shared" si="51"/>
        <v>-2</v>
      </c>
      <c r="W47">
        <f t="shared" si="60"/>
        <v>2</v>
      </c>
      <c r="X47">
        <v>2</v>
      </c>
      <c r="Y47">
        <v>4</v>
      </c>
      <c r="Z47">
        <f t="shared" si="61"/>
        <v>-2</v>
      </c>
      <c r="AA47">
        <f t="shared" si="62"/>
        <v>2</v>
      </c>
      <c r="AB47">
        <v>1</v>
      </c>
      <c r="AC47">
        <v>4</v>
      </c>
      <c r="AD47">
        <f t="shared" si="63"/>
        <v>-3</v>
      </c>
      <c r="AE47">
        <f t="shared" si="64"/>
        <v>3</v>
      </c>
      <c r="AF47">
        <v>9</v>
      </c>
      <c r="AG47">
        <v>4</v>
      </c>
      <c r="AH47">
        <f t="shared" si="65"/>
        <v>5</v>
      </c>
      <c r="AI47">
        <f t="shared" si="66"/>
        <v>5</v>
      </c>
    </row>
    <row r="48" spans="1:35" x14ac:dyDescent="0.3">
      <c r="A48" s="27" t="s">
        <v>72</v>
      </c>
      <c r="B48" s="26"/>
      <c r="C48">
        <v>6</v>
      </c>
      <c r="D48">
        <v>7</v>
      </c>
      <c r="E48">
        <f t="shared" si="52"/>
        <v>-1</v>
      </c>
      <c r="F48">
        <f t="shared" si="53"/>
        <v>1</v>
      </c>
      <c r="H48">
        <v>0</v>
      </c>
      <c r="I48">
        <v>3</v>
      </c>
      <c r="J48">
        <f t="shared" si="54"/>
        <v>-3</v>
      </c>
      <c r="K48">
        <f t="shared" si="55"/>
        <v>3</v>
      </c>
      <c r="L48">
        <v>0</v>
      </c>
      <c r="M48">
        <v>3</v>
      </c>
      <c r="N48">
        <f t="shared" si="56"/>
        <v>-3</v>
      </c>
      <c r="O48">
        <f t="shared" si="57"/>
        <v>3</v>
      </c>
      <c r="P48">
        <v>1</v>
      </c>
      <c r="Q48">
        <v>3</v>
      </c>
      <c r="R48">
        <f t="shared" si="58"/>
        <v>-2</v>
      </c>
      <c r="S48">
        <f t="shared" si="59"/>
        <v>2</v>
      </c>
      <c r="T48">
        <v>2</v>
      </c>
      <c r="U48">
        <v>3</v>
      </c>
      <c r="V48">
        <f t="shared" si="51"/>
        <v>-1</v>
      </c>
      <c r="W48">
        <f t="shared" si="60"/>
        <v>1</v>
      </c>
      <c r="X48">
        <v>0</v>
      </c>
      <c r="Y48">
        <v>3</v>
      </c>
      <c r="Z48">
        <f t="shared" si="61"/>
        <v>-3</v>
      </c>
      <c r="AA48">
        <f t="shared" si="62"/>
        <v>3</v>
      </c>
      <c r="AB48">
        <v>1</v>
      </c>
      <c r="AC48">
        <v>3</v>
      </c>
      <c r="AD48">
        <f t="shared" si="63"/>
        <v>-2</v>
      </c>
      <c r="AE48">
        <f t="shared" si="64"/>
        <v>2</v>
      </c>
      <c r="AF48">
        <v>0</v>
      </c>
      <c r="AG48">
        <v>3</v>
      </c>
      <c r="AH48">
        <f t="shared" si="65"/>
        <v>-3</v>
      </c>
      <c r="AI48">
        <f t="shared" si="66"/>
        <v>3</v>
      </c>
    </row>
    <row r="49" spans="1:35" x14ac:dyDescent="0.3">
      <c r="A49" s="26" t="s">
        <v>77</v>
      </c>
      <c r="B49" s="27"/>
      <c r="C49">
        <v>0</v>
      </c>
      <c r="D49">
        <v>4</v>
      </c>
      <c r="E49">
        <f t="shared" si="52"/>
        <v>-4</v>
      </c>
      <c r="F49">
        <f t="shared" si="53"/>
        <v>4</v>
      </c>
      <c r="H49">
        <v>0</v>
      </c>
      <c r="I49">
        <v>2</v>
      </c>
      <c r="J49">
        <f t="shared" si="54"/>
        <v>-2</v>
      </c>
      <c r="K49">
        <f t="shared" si="55"/>
        <v>2</v>
      </c>
      <c r="L49">
        <v>1</v>
      </c>
      <c r="M49">
        <v>2</v>
      </c>
      <c r="N49">
        <f t="shared" si="56"/>
        <v>-1</v>
      </c>
      <c r="O49">
        <f t="shared" si="57"/>
        <v>1</v>
      </c>
      <c r="P49">
        <v>0</v>
      </c>
      <c r="Q49">
        <v>2</v>
      </c>
      <c r="R49">
        <f t="shared" si="58"/>
        <v>-2</v>
      </c>
      <c r="S49">
        <f t="shared" si="59"/>
        <v>2</v>
      </c>
      <c r="T49">
        <v>0</v>
      </c>
      <c r="U49">
        <v>2</v>
      </c>
      <c r="V49">
        <f t="shared" si="51"/>
        <v>-2</v>
      </c>
      <c r="W49">
        <f t="shared" si="60"/>
        <v>2</v>
      </c>
      <c r="X49">
        <v>0</v>
      </c>
      <c r="Y49">
        <v>2</v>
      </c>
      <c r="Z49">
        <f t="shared" si="61"/>
        <v>-2</v>
      </c>
      <c r="AA49">
        <f t="shared" si="62"/>
        <v>2</v>
      </c>
      <c r="AB49">
        <v>0</v>
      </c>
      <c r="AC49">
        <v>2</v>
      </c>
      <c r="AD49">
        <f t="shared" si="63"/>
        <v>-2</v>
      </c>
      <c r="AE49">
        <f t="shared" si="64"/>
        <v>2</v>
      </c>
      <c r="AF49">
        <v>1</v>
      </c>
      <c r="AG49">
        <v>2</v>
      </c>
      <c r="AH49">
        <f t="shared" si="65"/>
        <v>-1</v>
      </c>
      <c r="AI49">
        <f t="shared" si="66"/>
        <v>1</v>
      </c>
    </row>
    <row r="50" spans="1:35" x14ac:dyDescent="0.3">
      <c r="A50" s="26" t="s">
        <v>76</v>
      </c>
      <c r="B50" s="26"/>
      <c r="C50">
        <v>8</v>
      </c>
      <c r="D50">
        <v>10</v>
      </c>
      <c r="E50">
        <f t="shared" si="52"/>
        <v>-2</v>
      </c>
      <c r="F50">
        <f t="shared" si="53"/>
        <v>2</v>
      </c>
      <c r="H50">
        <v>0</v>
      </c>
      <c r="I50">
        <v>10</v>
      </c>
      <c r="J50">
        <f t="shared" si="54"/>
        <v>-10</v>
      </c>
      <c r="K50">
        <f t="shared" si="55"/>
        <v>10</v>
      </c>
      <c r="L50">
        <v>2</v>
      </c>
      <c r="M50">
        <v>10</v>
      </c>
      <c r="N50">
        <f t="shared" si="56"/>
        <v>-8</v>
      </c>
      <c r="O50">
        <f t="shared" si="57"/>
        <v>8</v>
      </c>
      <c r="P50">
        <v>1</v>
      </c>
      <c r="Q50">
        <v>10</v>
      </c>
      <c r="R50">
        <f t="shared" si="58"/>
        <v>-9</v>
      </c>
      <c r="S50">
        <f t="shared" si="59"/>
        <v>9</v>
      </c>
      <c r="T50">
        <v>22</v>
      </c>
      <c r="U50">
        <v>10</v>
      </c>
      <c r="V50">
        <f t="shared" si="51"/>
        <v>12</v>
      </c>
      <c r="W50">
        <f t="shared" si="60"/>
        <v>12</v>
      </c>
      <c r="X50">
        <v>3</v>
      </c>
      <c r="Y50">
        <v>10</v>
      </c>
      <c r="Z50">
        <f t="shared" si="61"/>
        <v>-7</v>
      </c>
      <c r="AA50">
        <f t="shared" si="62"/>
        <v>7</v>
      </c>
      <c r="AB50">
        <v>0</v>
      </c>
      <c r="AC50">
        <v>10</v>
      </c>
      <c r="AD50">
        <f t="shared" si="63"/>
        <v>-10</v>
      </c>
      <c r="AE50">
        <f t="shared" si="64"/>
        <v>10</v>
      </c>
      <c r="AF50">
        <v>2</v>
      </c>
      <c r="AG50">
        <v>10</v>
      </c>
      <c r="AH50">
        <f t="shared" si="65"/>
        <v>-8</v>
      </c>
      <c r="AI50">
        <f t="shared" si="66"/>
        <v>8</v>
      </c>
    </row>
    <row r="51" spans="1:35" x14ac:dyDescent="0.3">
      <c r="A51" s="26" t="s">
        <v>155</v>
      </c>
      <c r="B51" s="27"/>
      <c r="C51">
        <v>15</v>
      </c>
      <c r="D51">
        <v>11</v>
      </c>
      <c r="E51">
        <f t="shared" si="52"/>
        <v>4</v>
      </c>
      <c r="F51">
        <f t="shared" si="53"/>
        <v>4</v>
      </c>
      <c r="H51">
        <v>54</v>
      </c>
      <c r="I51">
        <v>20</v>
      </c>
      <c r="J51">
        <f t="shared" si="54"/>
        <v>34</v>
      </c>
      <c r="K51">
        <f t="shared" si="55"/>
        <v>34</v>
      </c>
      <c r="L51">
        <v>9</v>
      </c>
      <c r="M51">
        <v>20</v>
      </c>
      <c r="N51">
        <f t="shared" si="56"/>
        <v>-11</v>
      </c>
      <c r="O51">
        <f t="shared" si="57"/>
        <v>11</v>
      </c>
      <c r="P51">
        <v>39</v>
      </c>
      <c r="Q51">
        <v>20</v>
      </c>
      <c r="R51">
        <f t="shared" si="58"/>
        <v>19</v>
      </c>
      <c r="S51">
        <f t="shared" si="59"/>
        <v>19</v>
      </c>
      <c r="T51">
        <v>34</v>
      </c>
      <c r="U51">
        <v>20</v>
      </c>
      <c r="V51">
        <f t="shared" si="51"/>
        <v>14</v>
      </c>
      <c r="W51">
        <f t="shared" si="60"/>
        <v>14</v>
      </c>
      <c r="X51">
        <v>60</v>
      </c>
      <c r="Y51">
        <v>20</v>
      </c>
      <c r="Z51">
        <f t="shared" si="61"/>
        <v>40</v>
      </c>
      <c r="AA51">
        <f t="shared" si="62"/>
        <v>40</v>
      </c>
      <c r="AB51">
        <v>22</v>
      </c>
      <c r="AC51">
        <v>20</v>
      </c>
      <c r="AD51">
        <f t="shared" si="63"/>
        <v>2</v>
      </c>
      <c r="AE51">
        <f t="shared" si="64"/>
        <v>2</v>
      </c>
      <c r="AF51">
        <v>15</v>
      </c>
      <c r="AG51">
        <v>20</v>
      </c>
      <c r="AH51">
        <f t="shared" si="65"/>
        <v>-5</v>
      </c>
      <c r="AI51">
        <f t="shared" si="66"/>
        <v>5</v>
      </c>
    </row>
    <row r="52" spans="1:35" x14ac:dyDescent="0.3">
      <c r="A52" s="26" t="s">
        <v>74</v>
      </c>
      <c r="B52" s="26"/>
      <c r="C52">
        <v>8</v>
      </c>
      <c r="D52">
        <v>9</v>
      </c>
      <c r="E52">
        <f t="shared" si="52"/>
        <v>-1</v>
      </c>
      <c r="F52">
        <f t="shared" si="53"/>
        <v>1</v>
      </c>
      <c r="H52">
        <v>0</v>
      </c>
      <c r="I52">
        <v>20</v>
      </c>
      <c r="J52">
        <f t="shared" si="54"/>
        <v>-20</v>
      </c>
      <c r="K52">
        <f t="shared" si="55"/>
        <v>20</v>
      </c>
      <c r="L52">
        <v>0</v>
      </c>
      <c r="M52">
        <v>20</v>
      </c>
      <c r="N52">
        <f t="shared" si="56"/>
        <v>-20</v>
      </c>
      <c r="O52">
        <f t="shared" si="57"/>
        <v>20</v>
      </c>
      <c r="P52">
        <v>1</v>
      </c>
      <c r="Q52">
        <v>20</v>
      </c>
      <c r="R52">
        <f t="shared" si="58"/>
        <v>-19</v>
      </c>
      <c r="S52">
        <f t="shared" si="59"/>
        <v>19</v>
      </c>
      <c r="T52">
        <v>1</v>
      </c>
      <c r="U52">
        <v>20</v>
      </c>
      <c r="V52">
        <f t="shared" si="51"/>
        <v>-19</v>
      </c>
      <c r="W52">
        <f t="shared" si="60"/>
        <v>19</v>
      </c>
      <c r="X52">
        <v>0</v>
      </c>
      <c r="Y52">
        <v>20</v>
      </c>
      <c r="Z52">
        <f t="shared" si="61"/>
        <v>-20</v>
      </c>
      <c r="AA52">
        <f t="shared" si="62"/>
        <v>20</v>
      </c>
      <c r="AB52">
        <v>14</v>
      </c>
      <c r="AC52">
        <v>20</v>
      </c>
      <c r="AD52">
        <f t="shared" si="63"/>
        <v>-6</v>
      </c>
      <c r="AE52">
        <f t="shared" si="64"/>
        <v>6</v>
      </c>
      <c r="AF52">
        <v>0</v>
      </c>
      <c r="AG52">
        <v>20</v>
      </c>
      <c r="AH52">
        <f t="shared" si="65"/>
        <v>-20</v>
      </c>
      <c r="AI52">
        <f t="shared" si="66"/>
        <v>20</v>
      </c>
    </row>
    <row r="53" spans="1:35" x14ac:dyDescent="0.3">
      <c r="A53" s="27" t="s">
        <v>75</v>
      </c>
      <c r="B53" s="26"/>
      <c r="C53">
        <v>16</v>
      </c>
      <c r="D53">
        <v>5</v>
      </c>
      <c r="E53">
        <f t="shared" si="52"/>
        <v>11</v>
      </c>
      <c r="F53">
        <f t="shared" si="53"/>
        <v>11</v>
      </c>
      <c r="H53">
        <v>20</v>
      </c>
      <c r="I53">
        <v>20</v>
      </c>
      <c r="J53">
        <f t="shared" si="54"/>
        <v>0</v>
      </c>
      <c r="K53">
        <f t="shared" si="55"/>
        <v>0</v>
      </c>
      <c r="L53">
        <v>48</v>
      </c>
      <c r="M53">
        <v>20</v>
      </c>
      <c r="N53">
        <f t="shared" si="56"/>
        <v>28</v>
      </c>
      <c r="O53">
        <f t="shared" si="57"/>
        <v>28</v>
      </c>
      <c r="P53">
        <v>22</v>
      </c>
      <c r="Q53">
        <v>20</v>
      </c>
      <c r="R53">
        <f t="shared" si="58"/>
        <v>2</v>
      </c>
      <c r="S53">
        <f t="shared" si="59"/>
        <v>2</v>
      </c>
      <c r="T53">
        <v>5</v>
      </c>
      <c r="U53">
        <v>12</v>
      </c>
      <c r="V53">
        <f t="shared" si="51"/>
        <v>-7</v>
      </c>
      <c r="W53">
        <f t="shared" si="60"/>
        <v>7</v>
      </c>
      <c r="X53">
        <v>25</v>
      </c>
      <c r="Y53">
        <v>20</v>
      </c>
      <c r="Z53">
        <f t="shared" si="61"/>
        <v>5</v>
      </c>
      <c r="AA53">
        <f t="shared" si="62"/>
        <v>5</v>
      </c>
      <c r="AB53">
        <v>51</v>
      </c>
      <c r="AC53">
        <v>20</v>
      </c>
      <c r="AD53">
        <f t="shared" si="63"/>
        <v>31</v>
      </c>
      <c r="AE53">
        <f t="shared" si="64"/>
        <v>31</v>
      </c>
      <c r="AF53">
        <v>39</v>
      </c>
      <c r="AG53">
        <v>20</v>
      </c>
      <c r="AH53">
        <f t="shared" si="65"/>
        <v>19</v>
      </c>
      <c r="AI53">
        <f t="shared" si="66"/>
        <v>19</v>
      </c>
    </row>
    <row r="54" spans="1:35" x14ac:dyDescent="0.3">
      <c r="A54" t="s">
        <v>150</v>
      </c>
      <c r="B54" s="26"/>
      <c r="C54">
        <f>SUM(C45:C53)</f>
        <v>100</v>
      </c>
      <c r="D54">
        <f>SUM(D45:D53)</f>
        <v>100</v>
      </c>
      <c r="E54">
        <f>SUM(E45:E53)</f>
        <v>0</v>
      </c>
      <c r="F54">
        <f>SUM(F45:F53)</f>
        <v>36</v>
      </c>
      <c r="H54">
        <f t="shared" ref="H54:AI54" si="67">SUM(H45:H53)</f>
        <v>100</v>
      </c>
      <c r="I54">
        <f t="shared" si="67"/>
        <v>100</v>
      </c>
      <c r="J54">
        <f t="shared" si="67"/>
        <v>0</v>
      </c>
      <c r="K54">
        <f t="shared" si="67"/>
        <v>106</v>
      </c>
      <c r="L54">
        <f t="shared" si="67"/>
        <v>99</v>
      </c>
      <c r="M54">
        <f t="shared" si="67"/>
        <v>100</v>
      </c>
      <c r="N54">
        <f t="shared" si="67"/>
        <v>-1</v>
      </c>
      <c r="O54">
        <f t="shared" si="67"/>
        <v>91</v>
      </c>
      <c r="P54">
        <f t="shared" si="67"/>
        <v>99</v>
      </c>
      <c r="Q54">
        <f t="shared" si="67"/>
        <v>100</v>
      </c>
      <c r="R54">
        <f t="shared" si="67"/>
        <v>-1</v>
      </c>
      <c r="S54">
        <f t="shared" si="67"/>
        <v>67</v>
      </c>
      <c r="T54">
        <f t="shared" si="67"/>
        <v>100</v>
      </c>
      <c r="U54">
        <f t="shared" si="67"/>
        <v>92</v>
      </c>
      <c r="V54">
        <f t="shared" si="67"/>
        <v>8</v>
      </c>
      <c r="W54">
        <f t="shared" si="67"/>
        <v>76</v>
      </c>
      <c r="X54">
        <f t="shared" si="67"/>
        <v>100</v>
      </c>
      <c r="Y54">
        <f t="shared" si="67"/>
        <v>100</v>
      </c>
      <c r="Z54">
        <f t="shared" si="67"/>
        <v>0</v>
      </c>
      <c r="AA54">
        <f t="shared" si="67"/>
        <v>98</v>
      </c>
      <c r="AB54">
        <f t="shared" si="67"/>
        <v>100</v>
      </c>
      <c r="AC54">
        <f t="shared" si="67"/>
        <v>100</v>
      </c>
      <c r="AD54">
        <f t="shared" si="67"/>
        <v>0</v>
      </c>
      <c r="AE54">
        <f t="shared" si="67"/>
        <v>76</v>
      </c>
      <c r="AF54">
        <f t="shared" si="67"/>
        <v>100</v>
      </c>
      <c r="AG54">
        <f t="shared" si="67"/>
        <v>100</v>
      </c>
      <c r="AH54">
        <f t="shared" si="67"/>
        <v>0</v>
      </c>
      <c r="AI54">
        <f t="shared" si="67"/>
        <v>104</v>
      </c>
    </row>
    <row r="55" spans="1:35" x14ac:dyDescent="0.3">
      <c r="A55" s="26"/>
      <c r="B55" s="26"/>
    </row>
    <row r="56" spans="1:35" x14ac:dyDescent="0.3">
      <c r="A56" s="27"/>
      <c r="B56" s="27"/>
      <c r="H56" s="47" t="s">
        <v>165</v>
      </c>
      <c r="I56" s="47"/>
      <c r="J56" s="47"/>
      <c r="K56" s="47"/>
      <c r="L56" s="47" t="s">
        <v>167</v>
      </c>
      <c r="M56" s="47"/>
      <c r="N56" s="47"/>
      <c r="O56" s="47"/>
      <c r="P56" s="47" t="s">
        <v>168</v>
      </c>
      <c r="Q56" s="47"/>
      <c r="R56" s="47"/>
      <c r="S56" s="47"/>
      <c r="X56" s="47" t="s">
        <v>170</v>
      </c>
      <c r="Y56" s="47"/>
      <c r="Z56" s="47"/>
      <c r="AA56" s="47"/>
      <c r="AB56" s="47" t="s">
        <v>171</v>
      </c>
      <c r="AC56" s="47"/>
      <c r="AD56" s="47"/>
      <c r="AE56" s="47"/>
      <c r="AF56" s="47" t="s">
        <v>172</v>
      </c>
      <c r="AG56" s="47"/>
      <c r="AH56" s="47"/>
      <c r="AI56" s="47"/>
    </row>
    <row r="57" spans="1:35" ht="28.5" x14ac:dyDescent="0.3">
      <c r="H57" s="28" t="s">
        <v>144</v>
      </c>
      <c r="I57" s="29" t="s">
        <v>166</v>
      </c>
      <c r="J57" s="28" t="s">
        <v>145</v>
      </c>
      <c r="K57" s="28" t="s">
        <v>151</v>
      </c>
      <c r="L57" s="28" t="s">
        <v>144</v>
      </c>
      <c r="M57" s="29" t="s">
        <v>166</v>
      </c>
      <c r="N57" s="28" t="s">
        <v>145</v>
      </c>
      <c r="O57" s="28" t="s">
        <v>151</v>
      </c>
      <c r="P57" s="28" t="s">
        <v>144</v>
      </c>
      <c r="Q57" s="29" t="s">
        <v>166</v>
      </c>
      <c r="R57" s="28" t="s">
        <v>145</v>
      </c>
      <c r="S57" s="28" t="s">
        <v>151</v>
      </c>
      <c r="X57" s="28" t="s">
        <v>144</v>
      </c>
      <c r="Y57" s="29" t="s">
        <v>166</v>
      </c>
      <c r="Z57" s="28" t="s">
        <v>145</v>
      </c>
      <c r="AA57" s="28" t="s">
        <v>151</v>
      </c>
      <c r="AB57" s="28" t="s">
        <v>144</v>
      </c>
      <c r="AC57" s="29" t="s">
        <v>166</v>
      </c>
      <c r="AD57" s="28" t="s">
        <v>145</v>
      </c>
      <c r="AE57" s="28" t="s">
        <v>151</v>
      </c>
      <c r="AF57" s="28" t="s">
        <v>144</v>
      </c>
      <c r="AG57" s="29" t="s">
        <v>166</v>
      </c>
      <c r="AH57" s="28" t="s">
        <v>145</v>
      </c>
      <c r="AI57" s="28" t="s">
        <v>151</v>
      </c>
    </row>
    <row r="58" spans="1:35" x14ac:dyDescent="0.3">
      <c r="A58" s="26" t="s">
        <v>69</v>
      </c>
      <c r="H58">
        <v>1</v>
      </c>
      <c r="I58">
        <v>15</v>
      </c>
      <c r="J58">
        <f>H58-I58</f>
        <v>-14</v>
      </c>
      <c r="K58">
        <f>(J58*J58)^(0.5)</f>
        <v>14</v>
      </c>
      <c r="L58">
        <v>29</v>
      </c>
      <c r="M58">
        <v>15</v>
      </c>
      <c r="N58">
        <f>L58-M58</f>
        <v>14</v>
      </c>
      <c r="O58">
        <f>(N58*N58)^(0.5)</f>
        <v>14</v>
      </c>
      <c r="P58">
        <v>22</v>
      </c>
      <c r="Q58">
        <v>15</v>
      </c>
      <c r="R58">
        <f>P58-Q58</f>
        <v>7</v>
      </c>
      <c r="S58">
        <f>(R58*R58)^(0.5)</f>
        <v>7</v>
      </c>
      <c r="X58">
        <v>0</v>
      </c>
      <c r="Y58">
        <v>15</v>
      </c>
      <c r="Z58">
        <f>X58-Y58</f>
        <v>-15</v>
      </c>
      <c r="AA58">
        <f>(Z58*Z58)^(0.5)</f>
        <v>15</v>
      </c>
      <c r="AB58">
        <v>0</v>
      </c>
      <c r="AC58">
        <v>15</v>
      </c>
      <c r="AD58">
        <f>AB58-AC58</f>
        <v>-15</v>
      </c>
      <c r="AE58">
        <f>(AD58*AD58)^(0.5)</f>
        <v>15</v>
      </c>
      <c r="AF58">
        <v>0</v>
      </c>
      <c r="AG58">
        <v>15</v>
      </c>
      <c r="AH58">
        <f>AF58-AG58</f>
        <v>-15</v>
      </c>
      <c r="AI58">
        <f>(AH58*AH58)^(0.5)</f>
        <v>15</v>
      </c>
    </row>
    <row r="59" spans="1:35" x14ac:dyDescent="0.3">
      <c r="A59" s="27" t="s">
        <v>70</v>
      </c>
      <c r="B59" s="26"/>
      <c r="H59">
        <v>25</v>
      </c>
      <c r="I59">
        <v>6</v>
      </c>
      <c r="J59">
        <f t="shared" ref="J59:J66" si="68">H59-I59</f>
        <v>19</v>
      </c>
      <c r="K59">
        <f t="shared" ref="K59:K66" si="69">(J59*J59)^(0.5)</f>
        <v>19</v>
      </c>
      <c r="L59">
        <v>19</v>
      </c>
      <c r="M59">
        <v>6</v>
      </c>
      <c r="N59">
        <f t="shared" ref="N59:N66" si="70">L59-M59</f>
        <v>13</v>
      </c>
      <c r="O59">
        <f t="shared" ref="O59:O66" si="71">(N59*N59)^(0.5)</f>
        <v>13</v>
      </c>
      <c r="P59">
        <v>14</v>
      </c>
      <c r="Q59">
        <v>6</v>
      </c>
      <c r="R59">
        <f t="shared" ref="R59:R66" si="72">P59-Q59</f>
        <v>8</v>
      </c>
      <c r="S59">
        <f t="shared" ref="S59:S66" si="73">(R59*R59)^(0.5)</f>
        <v>8</v>
      </c>
      <c r="X59">
        <v>10</v>
      </c>
      <c r="Y59">
        <v>6</v>
      </c>
      <c r="Z59">
        <f t="shared" ref="Z59:Z66" si="74">X59-Y59</f>
        <v>4</v>
      </c>
      <c r="AA59">
        <f t="shared" ref="AA59:AA66" si="75">(Z59*Z59)^(0.5)</f>
        <v>4</v>
      </c>
      <c r="AB59">
        <v>19</v>
      </c>
      <c r="AC59">
        <v>6</v>
      </c>
      <c r="AD59">
        <f t="shared" ref="AD59:AD66" si="76">AB59-AC59</f>
        <v>13</v>
      </c>
      <c r="AE59">
        <f t="shared" ref="AE59:AE66" si="77">(AD59*AD59)^(0.5)</f>
        <v>13</v>
      </c>
      <c r="AF59">
        <v>34</v>
      </c>
      <c r="AG59">
        <v>6</v>
      </c>
      <c r="AH59">
        <f t="shared" ref="AH59:AH66" si="78">AF59-AG59</f>
        <v>28</v>
      </c>
      <c r="AI59">
        <f t="shared" ref="AI59:AI66" si="79">(AH59*AH59)^(0.5)</f>
        <v>28</v>
      </c>
    </row>
    <row r="60" spans="1:35" x14ac:dyDescent="0.3">
      <c r="A60" s="26" t="s">
        <v>71</v>
      </c>
      <c r="B60" s="27"/>
      <c r="H60">
        <v>1</v>
      </c>
      <c r="I60">
        <v>4</v>
      </c>
      <c r="J60">
        <f t="shared" si="68"/>
        <v>-3</v>
      </c>
      <c r="K60">
        <f t="shared" si="69"/>
        <v>3</v>
      </c>
      <c r="L60">
        <v>1</v>
      </c>
      <c r="M60">
        <v>4</v>
      </c>
      <c r="N60">
        <f t="shared" si="70"/>
        <v>-3</v>
      </c>
      <c r="O60">
        <f t="shared" si="71"/>
        <v>3</v>
      </c>
      <c r="P60">
        <v>4</v>
      </c>
      <c r="Q60">
        <v>4</v>
      </c>
      <c r="R60">
        <f t="shared" si="72"/>
        <v>0</v>
      </c>
      <c r="S60">
        <f t="shared" si="73"/>
        <v>0</v>
      </c>
      <c r="X60">
        <v>3</v>
      </c>
      <c r="Y60">
        <v>4</v>
      </c>
      <c r="Z60">
        <f t="shared" si="74"/>
        <v>-1</v>
      </c>
      <c r="AA60">
        <f t="shared" si="75"/>
        <v>1</v>
      </c>
      <c r="AB60">
        <v>1</v>
      </c>
      <c r="AC60">
        <v>4</v>
      </c>
      <c r="AD60">
        <f t="shared" si="76"/>
        <v>-3</v>
      </c>
      <c r="AE60">
        <f t="shared" si="77"/>
        <v>3</v>
      </c>
      <c r="AF60">
        <v>10</v>
      </c>
      <c r="AG60">
        <v>4</v>
      </c>
      <c r="AH60">
        <f t="shared" si="78"/>
        <v>6</v>
      </c>
      <c r="AI60">
        <f t="shared" si="79"/>
        <v>6</v>
      </c>
    </row>
    <row r="61" spans="1:35" x14ac:dyDescent="0.3">
      <c r="A61" s="27" t="s">
        <v>72</v>
      </c>
      <c r="B61" s="26"/>
      <c r="H61">
        <v>0</v>
      </c>
      <c r="I61">
        <v>3</v>
      </c>
      <c r="J61">
        <f t="shared" si="68"/>
        <v>-3</v>
      </c>
      <c r="K61">
        <f t="shared" si="69"/>
        <v>3</v>
      </c>
      <c r="L61">
        <v>1</v>
      </c>
      <c r="M61">
        <v>3</v>
      </c>
      <c r="N61">
        <f t="shared" si="70"/>
        <v>-2</v>
      </c>
      <c r="O61">
        <f t="shared" si="71"/>
        <v>2</v>
      </c>
      <c r="P61">
        <v>1</v>
      </c>
      <c r="Q61">
        <v>3</v>
      </c>
      <c r="R61">
        <f t="shared" si="72"/>
        <v>-2</v>
      </c>
      <c r="S61">
        <f t="shared" si="73"/>
        <v>2</v>
      </c>
      <c r="X61">
        <v>0</v>
      </c>
      <c r="Y61">
        <v>3</v>
      </c>
      <c r="Z61">
        <f t="shared" si="74"/>
        <v>-3</v>
      </c>
      <c r="AA61">
        <f t="shared" si="75"/>
        <v>3</v>
      </c>
      <c r="AB61">
        <v>3</v>
      </c>
      <c r="AC61">
        <v>3</v>
      </c>
      <c r="AD61">
        <f t="shared" si="76"/>
        <v>0</v>
      </c>
      <c r="AE61">
        <f t="shared" si="77"/>
        <v>0</v>
      </c>
      <c r="AF61">
        <v>0</v>
      </c>
      <c r="AG61">
        <v>3</v>
      </c>
      <c r="AH61">
        <f t="shared" si="78"/>
        <v>-3</v>
      </c>
      <c r="AI61">
        <f t="shared" si="79"/>
        <v>3</v>
      </c>
    </row>
    <row r="62" spans="1:35" x14ac:dyDescent="0.3">
      <c r="A62" s="26" t="s">
        <v>77</v>
      </c>
      <c r="B62" s="27"/>
      <c r="H62">
        <v>2</v>
      </c>
      <c r="I62">
        <v>2</v>
      </c>
      <c r="J62">
        <f t="shared" si="68"/>
        <v>0</v>
      </c>
      <c r="K62">
        <f t="shared" si="69"/>
        <v>0</v>
      </c>
      <c r="L62">
        <v>1</v>
      </c>
      <c r="M62">
        <v>2</v>
      </c>
      <c r="N62">
        <f t="shared" si="70"/>
        <v>-1</v>
      </c>
      <c r="O62">
        <f t="shared" si="71"/>
        <v>1</v>
      </c>
      <c r="P62">
        <v>1</v>
      </c>
      <c r="Q62">
        <v>2</v>
      </c>
      <c r="R62">
        <f t="shared" si="72"/>
        <v>-1</v>
      </c>
      <c r="S62">
        <f t="shared" si="73"/>
        <v>1</v>
      </c>
      <c r="X62">
        <v>0</v>
      </c>
      <c r="Y62">
        <v>2</v>
      </c>
      <c r="Z62">
        <f t="shared" si="74"/>
        <v>-2</v>
      </c>
      <c r="AA62">
        <f t="shared" si="75"/>
        <v>2</v>
      </c>
      <c r="AB62">
        <v>0</v>
      </c>
      <c r="AC62">
        <v>2</v>
      </c>
      <c r="AD62">
        <f t="shared" si="76"/>
        <v>-2</v>
      </c>
      <c r="AE62">
        <f t="shared" si="77"/>
        <v>2</v>
      </c>
      <c r="AF62">
        <v>1</v>
      </c>
      <c r="AG62">
        <v>2</v>
      </c>
      <c r="AH62">
        <f t="shared" si="78"/>
        <v>-1</v>
      </c>
      <c r="AI62">
        <f t="shared" si="79"/>
        <v>1</v>
      </c>
    </row>
    <row r="63" spans="1:35" x14ac:dyDescent="0.3">
      <c r="A63" s="26" t="s">
        <v>76</v>
      </c>
      <c r="B63" s="26"/>
      <c r="H63">
        <v>1</v>
      </c>
      <c r="I63">
        <v>10</v>
      </c>
      <c r="J63">
        <f t="shared" si="68"/>
        <v>-9</v>
      </c>
      <c r="K63">
        <f t="shared" si="69"/>
        <v>9</v>
      </c>
      <c r="L63">
        <v>2</v>
      </c>
      <c r="M63">
        <v>10</v>
      </c>
      <c r="N63">
        <f t="shared" si="70"/>
        <v>-8</v>
      </c>
      <c r="O63">
        <f t="shared" si="71"/>
        <v>8</v>
      </c>
      <c r="P63">
        <v>1</v>
      </c>
      <c r="Q63">
        <v>10</v>
      </c>
      <c r="R63">
        <f t="shared" si="72"/>
        <v>-9</v>
      </c>
      <c r="S63">
        <f t="shared" si="73"/>
        <v>9</v>
      </c>
      <c r="X63">
        <v>3</v>
      </c>
      <c r="Y63">
        <v>10</v>
      </c>
      <c r="Z63">
        <f t="shared" si="74"/>
        <v>-7</v>
      </c>
      <c r="AA63">
        <f t="shared" si="75"/>
        <v>7</v>
      </c>
      <c r="AB63">
        <v>1</v>
      </c>
      <c r="AC63">
        <v>10</v>
      </c>
      <c r="AD63">
        <f t="shared" si="76"/>
        <v>-9</v>
      </c>
      <c r="AE63">
        <f t="shared" si="77"/>
        <v>9</v>
      </c>
      <c r="AF63">
        <v>21</v>
      </c>
      <c r="AG63">
        <v>10</v>
      </c>
      <c r="AH63">
        <f t="shared" si="78"/>
        <v>11</v>
      </c>
      <c r="AI63">
        <f t="shared" si="79"/>
        <v>11</v>
      </c>
    </row>
    <row r="64" spans="1:35" x14ac:dyDescent="0.3">
      <c r="A64" s="26" t="s">
        <v>155</v>
      </c>
      <c r="B64" s="26"/>
      <c r="H64">
        <v>54</v>
      </c>
      <c r="I64">
        <v>20</v>
      </c>
      <c r="J64">
        <f t="shared" si="68"/>
        <v>34</v>
      </c>
      <c r="K64">
        <f t="shared" si="69"/>
        <v>34</v>
      </c>
      <c r="L64">
        <v>1</v>
      </c>
      <c r="M64">
        <v>20</v>
      </c>
      <c r="N64">
        <f t="shared" si="70"/>
        <v>-19</v>
      </c>
      <c r="O64">
        <f t="shared" si="71"/>
        <v>19</v>
      </c>
      <c r="P64">
        <v>35</v>
      </c>
      <c r="Q64">
        <v>20</v>
      </c>
      <c r="R64">
        <f t="shared" si="72"/>
        <v>15</v>
      </c>
      <c r="S64">
        <f t="shared" si="73"/>
        <v>15</v>
      </c>
      <c r="X64">
        <v>60</v>
      </c>
      <c r="Y64">
        <v>20</v>
      </c>
      <c r="Z64">
        <f t="shared" si="74"/>
        <v>40</v>
      </c>
      <c r="AA64">
        <f t="shared" si="75"/>
        <v>40</v>
      </c>
      <c r="AB64">
        <v>18</v>
      </c>
      <c r="AC64">
        <v>20</v>
      </c>
      <c r="AD64">
        <f t="shared" si="76"/>
        <v>-2</v>
      </c>
      <c r="AE64">
        <f t="shared" si="77"/>
        <v>2</v>
      </c>
      <c r="AF64">
        <v>16</v>
      </c>
      <c r="AG64">
        <v>20</v>
      </c>
      <c r="AH64">
        <f t="shared" si="78"/>
        <v>-4</v>
      </c>
      <c r="AI64">
        <f t="shared" si="79"/>
        <v>4</v>
      </c>
    </row>
    <row r="65" spans="1:35" x14ac:dyDescent="0.3">
      <c r="A65" s="26" t="s">
        <v>74</v>
      </c>
      <c r="B65" s="26"/>
      <c r="H65">
        <v>0</v>
      </c>
      <c r="I65">
        <v>20</v>
      </c>
      <c r="J65">
        <f t="shared" si="68"/>
        <v>-20</v>
      </c>
      <c r="K65">
        <f t="shared" si="69"/>
        <v>20</v>
      </c>
      <c r="L65">
        <v>0</v>
      </c>
      <c r="M65">
        <v>20</v>
      </c>
      <c r="N65">
        <f t="shared" si="70"/>
        <v>-20</v>
      </c>
      <c r="O65">
        <f t="shared" si="71"/>
        <v>20</v>
      </c>
      <c r="P65">
        <v>1</v>
      </c>
      <c r="Q65">
        <v>20</v>
      </c>
      <c r="R65">
        <f t="shared" si="72"/>
        <v>-19</v>
      </c>
      <c r="S65">
        <f t="shared" si="73"/>
        <v>19</v>
      </c>
      <c r="X65">
        <v>0</v>
      </c>
      <c r="Y65">
        <v>20</v>
      </c>
      <c r="Z65">
        <f t="shared" si="74"/>
        <v>-20</v>
      </c>
      <c r="AA65">
        <f t="shared" si="75"/>
        <v>20</v>
      </c>
      <c r="AB65">
        <v>12</v>
      </c>
      <c r="AC65">
        <v>20</v>
      </c>
      <c r="AD65">
        <f t="shared" si="76"/>
        <v>-8</v>
      </c>
      <c r="AE65">
        <f t="shared" si="77"/>
        <v>8</v>
      </c>
      <c r="AF65">
        <v>0</v>
      </c>
      <c r="AG65">
        <v>20</v>
      </c>
      <c r="AH65">
        <f t="shared" si="78"/>
        <v>-20</v>
      </c>
      <c r="AI65">
        <f t="shared" si="79"/>
        <v>20</v>
      </c>
    </row>
    <row r="66" spans="1:35" x14ac:dyDescent="0.3">
      <c r="A66" s="27" t="s">
        <v>75</v>
      </c>
      <c r="B66" s="26"/>
      <c r="H66">
        <v>16</v>
      </c>
      <c r="I66">
        <v>20</v>
      </c>
      <c r="J66">
        <f t="shared" si="68"/>
        <v>-4</v>
      </c>
      <c r="K66">
        <f t="shared" si="69"/>
        <v>4</v>
      </c>
      <c r="L66">
        <v>46</v>
      </c>
      <c r="M66">
        <v>20</v>
      </c>
      <c r="N66">
        <f t="shared" si="70"/>
        <v>26</v>
      </c>
      <c r="O66">
        <f t="shared" si="71"/>
        <v>26</v>
      </c>
      <c r="P66">
        <v>21</v>
      </c>
      <c r="Q66">
        <v>20</v>
      </c>
      <c r="R66">
        <f t="shared" si="72"/>
        <v>1</v>
      </c>
      <c r="S66">
        <f t="shared" si="73"/>
        <v>1</v>
      </c>
      <c r="X66">
        <v>24</v>
      </c>
      <c r="Y66">
        <v>20</v>
      </c>
      <c r="Z66">
        <f t="shared" si="74"/>
        <v>4</v>
      </c>
      <c r="AA66">
        <f t="shared" si="75"/>
        <v>4</v>
      </c>
      <c r="AB66">
        <v>46</v>
      </c>
      <c r="AC66">
        <v>20</v>
      </c>
      <c r="AD66">
        <f t="shared" si="76"/>
        <v>26</v>
      </c>
      <c r="AE66">
        <f t="shared" si="77"/>
        <v>26</v>
      </c>
      <c r="AF66">
        <v>18</v>
      </c>
      <c r="AG66">
        <v>20</v>
      </c>
      <c r="AH66">
        <f t="shared" si="78"/>
        <v>-2</v>
      </c>
      <c r="AI66">
        <f t="shared" si="79"/>
        <v>2</v>
      </c>
    </row>
    <row r="67" spans="1:35" x14ac:dyDescent="0.3">
      <c r="A67" t="s">
        <v>150</v>
      </c>
      <c r="B67" s="27"/>
      <c r="H67">
        <f t="shared" ref="H67:S67" si="80">SUM(H58:H66)</f>
        <v>100</v>
      </c>
      <c r="I67">
        <f t="shared" si="80"/>
        <v>100</v>
      </c>
      <c r="J67">
        <f t="shared" si="80"/>
        <v>0</v>
      </c>
      <c r="K67">
        <f t="shared" si="80"/>
        <v>106</v>
      </c>
      <c r="L67">
        <f t="shared" si="80"/>
        <v>100</v>
      </c>
      <c r="M67">
        <f t="shared" si="80"/>
        <v>100</v>
      </c>
      <c r="N67">
        <f t="shared" si="80"/>
        <v>0</v>
      </c>
      <c r="O67">
        <f t="shared" si="80"/>
        <v>106</v>
      </c>
      <c r="P67">
        <f t="shared" si="80"/>
        <v>100</v>
      </c>
      <c r="Q67">
        <f t="shared" si="80"/>
        <v>100</v>
      </c>
      <c r="R67">
        <f t="shared" si="80"/>
        <v>0</v>
      </c>
      <c r="S67">
        <f t="shared" si="80"/>
        <v>62</v>
      </c>
      <c r="X67">
        <f t="shared" ref="X67:AI67" si="81">SUM(X58:X66)</f>
        <v>100</v>
      </c>
      <c r="Y67">
        <f t="shared" si="81"/>
        <v>100</v>
      </c>
      <c r="Z67">
        <f t="shared" si="81"/>
        <v>0</v>
      </c>
      <c r="AA67">
        <f t="shared" si="81"/>
        <v>96</v>
      </c>
      <c r="AB67">
        <f t="shared" si="81"/>
        <v>100</v>
      </c>
      <c r="AC67">
        <f t="shared" si="81"/>
        <v>100</v>
      </c>
      <c r="AD67">
        <f t="shared" si="81"/>
        <v>0</v>
      </c>
      <c r="AE67">
        <f t="shared" si="81"/>
        <v>78</v>
      </c>
      <c r="AF67">
        <f t="shared" si="81"/>
        <v>100</v>
      </c>
      <c r="AG67">
        <f t="shared" si="81"/>
        <v>100</v>
      </c>
      <c r="AH67">
        <f t="shared" si="81"/>
        <v>0</v>
      </c>
      <c r="AI67">
        <f t="shared" si="81"/>
        <v>90</v>
      </c>
    </row>
    <row r="69" spans="1:35" x14ac:dyDescent="0.3">
      <c r="C69" s="47" t="s">
        <v>174</v>
      </c>
      <c r="D69" s="47"/>
      <c r="E69" s="47"/>
      <c r="F69" s="47"/>
    </row>
    <row r="70" spans="1:35" x14ac:dyDescent="0.3">
      <c r="A70" s="26"/>
      <c r="B70" s="26"/>
      <c r="C70" s="28" t="s">
        <v>144</v>
      </c>
      <c r="D70" s="29" t="s">
        <v>159</v>
      </c>
      <c r="E70" s="28" t="s">
        <v>145</v>
      </c>
      <c r="F70" s="28" t="s">
        <v>151</v>
      </c>
    </row>
    <row r="71" spans="1:35" x14ac:dyDescent="0.3">
      <c r="A71" s="26" t="s">
        <v>69</v>
      </c>
      <c r="B71" s="27"/>
      <c r="C71">
        <v>14</v>
      </c>
      <c r="D71">
        <v>25</v>
      </c>
      <c r="E71">
        <f>C71-D71</f>
        <v>-11</v>
      </c>
      <c r="F71">
        <f>(E71*E71)^(0.5)</f>
        <v>11</v>
      </c>
    </row>
    <row r="72" spans="1:35" x14ac:dyDescent="0.3">
      <c r="A72" s="27" t="s">
        <v>70</v>
      </c>
      <c r="B72" s="26"/>
      <c r="C72">
        <v>43</v>
      </c>
      <c r="D72">
        <v>15</v>
      </c>
      <c r="E72">
        <f t="shared" ref="E72:E79" si="82">C72-D72</f>
        <v>28</v>
      </c>
      <c r="F72">
        <f t="shared" ref="F72:F79" si="83">(E72*E72)^(0.5)</f>
        <v>28</v>
      </c>
    </row>
    <row r="73" spans="1:35" x14ac:dyDescent="0.3">
      <c r="A73" s="26" t="s">
        <v>71</v>
      </c>
      <c r="B73" s="27"/>
      <c r="C73">
        <v>3</v>
      </c>
      <c r="D73">
        <v>14</v>
      </c>
      <c r="E73">
        <f t="shared" si="82"/>
        <v>-11</v>
      </c>
      <c r="F73">
        <f t="shared" si="83"/>
        <v>11</v>
      </c>
    </row>
    <row r="74" spans="1:35" x14ac:dyDescent="0.3">
      <c r="A74" s="27" t="s">
        <v>72</v>
      </c>
      <c r="B74" s="26"/>
      <c r="C74">
        <v>5</v>
      </c>
      <c r="D74">
        <v>7</v>
      </c>
      <c r="E74">
        <f t="shared" si="82"/>
        <v>-2</v>
      </c>
      <c r="F74">
        <f t="shared" si="83"/>
        <v>2</v>
      </c>
    </row>
    <row r="75" spans="1:35" x14ac:dyDescent="0.3">
      <c r="A75" s="26" t="s">
        <v>77</v>
      </c>
      <c r="B75" s="26"/>
      <c r="C75">
        <v>1</v>
      </c>
      <c r="D75">
        <v>4</v>
      </c>
      <c r="E75">
        <f t="shared" si="82"/>
        <v>-3</v>
      </c>
      <c r="F75">
        <f t="shared" si="83"/>
        <v>3</v>
      </c>
    </row>
    <row r="76" spans="1:35" x14ac:dyDescent="0.3">
      <c r="A76" s="26" t="s">
        <v>76</v>
      </c>
      <c r="B76" s="26"/>
      <c r="C76">
        <v>17</v>
      </c>
      <c r="D76">
        <v>10</v>
      </c>
      <c r="E76">
        <f t="shared" si="82"/>
        <v>7</v>
      </c>
      <c r="F76">
        <f t="shared" si="83"/>
        <v>7</v>
      </c>
    </row>
    <row r="77" spans="1:35" x14ac:dyDescent="0.3">
      <c r="A77" s="26" t="s">
        <v>155</v>
      </c>
      <c r="B77" s="26"/>
      <c r="C77">
        <v>1</v>
      </c>
      <c r="D77">
        <v>11</v>
      </c>
      <c r="E77">
        <f t="shared" si="82"/>
        <v>-10</v>
      </c>
      <c r="F77">
        <f t="shared" si="83"/>
        <v>10</v>
      </c>
    </row>
    <row r="78" spans="1:35" x14ac:dyDescent="0.3">
      <c r="A78" s="26" t="s">
        <v>74</v>
      </c>
      <c r="B78" s="27"/>
      <c r="C78">
        <v>4</v>
      </c>
      <c r="D78">
        <v>9</v>
      </c>
      <c r="E78">
        <f t="shared" si="82"/>
        <v>-5</v>
      </c>
      <c r="F78">
        <f t="shared" si="83"/>
        <v>5</v>
      </c>
    </row>
    <row r="79" spans="1:35" x14ac:dyDescent="0.3">
      <c r="A79" s="27" t="s">
        <v>75</v>
      </c>
      <c r="C79">
        <v>12</v>
      </c>
      <c r="D79">
        <v>5</v>
      </c>
      <c r="E79">
        <f t="shared" si="82"/>
        <v>7</v>
      </c>
      <c r="F79">
        <f t="shared" si="83"/>
        <v>7</v>
      </c>
    </row>
    <row r="80" spans="1:35" x14ac:dyDescent="0.3">
      <c r="A80" t="s">
        <v>150</v>
      </c>
      <c r="C80">
        <f>SUM(C71:C79)</f>
        <v>100</v>
      </c>
      <c r="D80">
        <f>SUM(D71:D79)</f>
        <v>100</v>
      </c>
      <c r="E80">
        <f>SUM(E71:E79)</f>
        <v>0</v>
      </c>
      <c r="F80">
        <f>SUM(F71:F79)</f>
        <v>84</v>
      </c>
    </row>
  </sheetData>
  <mergeCells count="40">
    <mergeCell ref="C69:F69"/>
    <mergeCell ref="AO2:AQ2"/>
    <mergeCell ref="AS2:AU2"/>
    <mergeCell ref="AS17:AU17"/>
    <mergeCell ref="X43:AA43"/>
    <mergeCell ref="X56:AA56"/>
    <mergeCell ref="AB43:AE43"/>
    <mergeCell ref="AB56:AE56"/>
    <mergeCell ref="AF43:AI43"/>
    <mergeCell ref="AF56:AI56"/>
    <mergeCell ref="P43:S43"/>
    <mergeCell ref="P56:S56"/>
    <mergeCell ref="T43:W43"/>
    <mergeCell ref="C43:F43"/>
    <mergeCell ref="H43:K43"/>
    <mergeCell ref="H56:K56"/>
    <mergeCell ref="L29:O29"/>
    <mergeCell ref="L56:O56"/>
    <mergeCell ref="C2:F2"/>
    <mergeCell ref="H2:K2"/>
    <mergeCell ref="H16:K16"/>
    <mergeCell ref="L2:N2"/>
    <mergeCell ref="C16:E16"/>
    <mergeCell ref="C29:F29"/>
    <mergeCell ref="P16:S16"/>
    <mergeCell ref="T16:W16"/>
    <mergeCell ref="T29:W29"/>
    <mergeCell ref="L43:O43"/>
    <mergeCell ref="AC1:AM1"/>
    <mergeCell ref="AC2:AE2"/>
    <mergeCell ref="AG2:AI2"/>
    <mergeCell ref="AK2:AM2"/>
    <mergeCell ref="T2:V2"/>
    <mergeCell ref="H1:Z1"/>
    <mergeCell ref="X2:Z2"/>
    <mergeCell ref="P2:R2"/>
    <mergeCell ref="X16:AA16"/>
    <mergeCell ref="X29:AA29"/>
    <mergeCell ref="L16:O16"/>
    <mergeCell ref="H29:K29"/>
  </mergeCells>
  <conditionalFormatting sqref="E4:E12">
    <cfRule type="colorScale" priority="92">
      <colorScale>
        <cfvo type="min"/>
        <cfvo type="max"/>
        <color rgb="FFF8696B"/>
        <color rgb="FFFCFCFF"/>
      </colorScale>
    </cfRule>
    <cfRule type="colorScale" priority="10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4:R12 N4:N12 J4:J12">
    <cfRule type="colorScale" priority="9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4:V12">
    <cfRule type="colorScale" priority="9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Z12">
    <cfRule type="colorScale" priority="9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E4:AE12">
    <cfRule type="colorScale" priority="9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I4:AI12">
    <cfRule type="colorScale" priority="9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M4:AM12">
    <cfRule type="colorScale" priority="90">
      <colorScale>
        <cfvo type="min"/>
        <cfvo type="max"/>
        <color rgb="FFF8696B"/>
        <color rgb="FFFCFCFF"/>
      </colorScale>
    </cfRule>
    <cfRule type="colorScale" priority="9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18:E26">
    <cfRule type="colorScale" priority="9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4:J12 N4:N12 R4:R12 V4:V12 Z4:Z12 AE4:AE12 AI4:AI12 AM4:AM12">
    <cfRule type="colorScale" priority="91">
      <colorScale>
        <cfvo type="min"/>
        <cfvo type="max"/>
        <color rgb="FFF8696B"/>
        <color rgb="FFFCFCFF"/>
      </colorScale>
    </cfRule>
  </conditionalFormatting>
  <conditionalFormatting sqref="AM4:AM12 AI4:AI12 AE4:AE12 Z4:Z12 V4:V12 R4:R12 N4:N12 J4:J12 E4:E12">
    <cfRule type="colorScale" priority="8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8:J26">
    <cfRule type="colorScale" priority="6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18:J26">
    <cfRule type="colorScale" priority="63">
      <colorScale>
        <cfvo type="min"/>
        <cfvo type="max"/>
        <color rgb="FFF8696B"/>
        <color rgb="FFFCFCFF"/>
      </colorScale>
    </cfRule>
  </conditionalFormatting>
  <conditionalFormatting sqref="J18:J26">
    <cfRule type="colorScale" priority="6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31:J39">
    <cfRule type="colorScale" priority="6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31:J39">
    <cfRule type="colorScale" priority="60">
      <colorScale>
        <cfvo type="min"/>
        <cfvo type="max"/>
        <color rgb="FFF8696B"/>
        <color rgb="FFFCFCFF"/>
      </colorScale>
    </cfRule>
  </conditionalFormatting>
  <conditionalFormatting sqref="J31:J39">
    <cfRule type="colorScale" priority="5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31:E39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31:N39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31:N39">
    <cfRule type="colorScale" priority="56">
      <colorScale>
        <cfvo type="min"/>
        <cfvo type="max"/>
        <color rgb="FFF8696B"/>
        <color rgb="FFFCFCFF"/>
      </colorScale>
    </cfRule>
  </conditionalFormatting>
  <conditionalFormatting sqref="N31:N39">
    <cfRule type="colorScale" priority="5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18:N26">
    <cfRule type="colorScale" priority="5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8:N26">
    <cfRule type="colorScale" priority="53">
      <colorScale>
        <cfvo type="min"/>
        <cfvo type="max"/>
        <color rgb="FFF8696B"/>
        <color rgb="FFFCFCFF"/>
      </colorScale>
    </cfRule>
  </conditionalFormatting>
  <conditionalFormatting sqref="N18:N26">
    <cfRule type="colorScale" priority="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18:R26">
    <cfRule type="colorScale" priority="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18:R26">
    <cfRule type="colorScale" priority="50">
      <colorScale>
        <cfvo type="min"/>
        <cfvo type="max"/>
        <color rgb="FFF8696B"/>
        <color rgb="FFFCFCFF"/>
      </colorScale>
    </cfRule>
  </conditionalFormatting>
  <conditionalFormatting sqref="R18:R26">
    <cfRule type="colorScale" priority="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18:V26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18:V26">
    <cfRule type="colorScale" priority="44">
      <colorScale>
        <cfvo type="min"/>
        <cfvo type="max"/>
        <color rgb="FFF8696B"/>
        <color rgb="FFFCFCFF"/>
      </colorScale>
    </cfRule>
  </conditionalFormatting>
  <conditionalFormatting sqref="V18:V26">
    <cfRule type="colorScale" priority="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31:V39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31:V39">
    <cfRule type="colorScale" priority="41">
      <colorScale>
        <cfvo type="min"/>
        <cfvo type="max"/>
        <color rgb="FFF8696B"/>
        <color rgb="FFFCFCFF"/>
      </colorScale>
    </cfRule>
  </conditionalFormatting>
  <conditionalFormatting sqref="V31:V39"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18:Z26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18:Z26">
    <cfRule type="colorScale" priority="38">
      <colorScale>
        <cfvo type="min"/>
        <cfvo type="max"/>
        <color rgb="FFF8696B"/>
        <color rgb="FFFCFCFF"/>
      </colorScale>
    </cfRule>
  </conditionalFormatting>
  <conditionalFormatting sqref="Z18:Z26">
    <cfRule type="colorScale" priority="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31:Z39">
    <cfRule type="colorScale" priority="3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31:Z39">
    <cfRule type="colorScale" priority="35">
      <colorScale>
        <cfvo type="min"/>
        <cfvo type="max"/>
        <color rgb="FFF8696B"/>
        <color rgb="FFFCFCFF"/>
      </colorScale>
    </cfRule>
  </conditionalFormatting>
  <conditionalFormatting sqref="Z31:Z39"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45:E53"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45:J53">
    <cfRule type="colorScale" priority="3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58:J66">
    <cfRule type="colorScale" priority="3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45:N53">
    <cfRule type="colorScale" priority="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58:N66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45:R53">
    <cfRule type="colorScale" priority="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R58:R66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45:V53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45:V53">
    <cfRule type="colorScale" priority="25">
      <colorScale>
        <cfvo type="min"/>
        <cfvo type="max"/>
        <color rgb="FFF8696B"/>
        <color rgb="FFFCFCFF"/>
      </colorScale>
    </cfRule>
  </conditionalFormatting>
  <conditionalFormatting sqref="V45:V53">
    <cfRule type="colorScale" priority="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45:Z53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58:Z66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45:AD53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58:AD66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H45:AH53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H58:AH66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71:E79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Q4:AQ12">
    <cfRule type="colorScale" priority="14">
      <colorScale>
        <cfvo type="min"/>
        <cfvo type="max"/>
        <color rgb="FFF8696B"/>
        <color rgb="FFFCFCFF"/>
      </colorScale>
    </cfRule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Q4:AQ12">
    <cfRule type="colorScale" priority="15">
      <colorScale>
        <cfvo type="min"/>
        <cfvo type="max"/>
        <color rgb="FFF8696B"/>
        <color rgb="FFFCFCFF"/>
      </colorScale>
    </cfRule>
  </conditionalFormatting>
  <conditionalFormatting sqref="AQ4:AQ12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4:AU12">
    <cfRule type="colorScale" priority="6">
      <colorScale>
        <cfvo type="min"/>
        <cfvo type="max"/>
        <color rgb="FFF8696B"/>
        <color rgb="FFFCFCFF"/>
      </colorScale>
    </cfRule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U4:AU12">
    <cfRule type="colorScale" priority="7">
      <colorScale>
        <cfvo type="min"/>
        <cfvo type="max"/>
        <color rgb="FFF8696B"/>
        <color rgb="FFFCFCFF"/>
      </colorScale>
    </cfRule>
  </conditionalFormatting>
  <conditionalFormatting sqref="AU4:AU12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19:AU27">
    <cfRule type="colorScale" priority="2">
      <colorScale>
        <cfvo type="min"/>
        <cfvo type="max"/>
        <color rgb="FFF8696B"/>
        <color rgb="FFFCFCFF"/>
      </colorScale>
    </cfRule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U19:AU27">
    <cfRule type="colorScale" priority="3">
      <colorScale>
        <cfvo type="min"/>
        <cfvo type="max"/>
        <color rgb="FFF8696B"/>
        <color rgb="FFFCFCFF"/>
      </colorScale>
    </cfRule>
  </conditionalFormatting>
  <conditionalFormatting sqref="AU19:AU2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78EA-91DA-407C-9347-46DCC0BBA54F}">
  <dimension ref="A1:M12"/>
  <sheetViews>
    <sheetView workbookViewId="0">
      <selection activeCell="B15" sqref="B15"/>
    </sheetView>
  </sheetViews>
  <sheetFormatPr defaultRowHeight="16.5" x14ac:dyDescent="0.3"/>
  <cols>
    <col min="1" max="1" width="10.75" customWidth="1"/>
    <col min="2" max="2" width="12.5" customWidth="1"/>
    <col min="3" max="3" width="11.125" customWidth="1"/>
    <col min="4" max="4" width="11.5" customWidth="1"/>
  </cols>
  <sheetData>
    <row r="1" spans="1:13" x14ac:dyDescent="0.3">
      <c r="A1" t="s">
        <v>176</v>
      </c>
    </row>
    <row r="2" spans="1:13" x14ac:dyDescent="0.3">
      <c r="B2" t="s">
        <v>56</v>
      </c>
      <c r="C2" t="s">
        <v>177</v>
      </c>
      <c r="D2" t="s">
        <v>178</v>
      </c>
      <c r="E2" t="s">
        <v>164</v>
      </c>
      <c r="F2" t="s">
        <v>165</v>
      </c>
      <c r="G2" t="s">
        <v>175</v>
      </c>
      <c r="H2" t="s">
        <v>168</v>
      </c>
      <c r="I2" t="s">
        <v>169</v>
      </c>
      <c r="J2" t="s">
        <v>170</v>
      </c>
      <c r="K2" t="s">
        <v>171</v>
      </c>
      <c r="L2" t="s">
        <v>172</v>
      </c>
      <c r="M2" t="s">
        <v>174</v>
      </c>
    </row>
    <row r="3" spans="1:13" x14ac:dyDescent="0.3">
      <c r="A3" t="s">
        <v>164</v>
      </c>
      <c r="B3">
        <v>1329825</v>
      </c>
      <c r="C3">
        <v>1</v>
      </c>
      <c r="D3">
        <v>36</v>
      </c>
      <c r="E3">
        <v>0</v>
      </c>
      <c r="F3">
        <v>15</v>
      </c>
      <c r="G3">
        <v>21</v>
      </c>
      <c r="H3">
        <v>37</v>
      </c>
      <c r="I3">
        <v>42</v>
      </c>
      <c r="J3">
        <v>23</v>
      </c>
      <c r="K3">
        <v>18</v>
      </c>
      <c r="L3">
        <v>12</v>
      </c>
      <c r="M3">
        <v>54</v>
      </c>
    </row>
    <row r="4" spans="1:13" x14ac:dyDescent="0.3">
      <c r="A4" t="s">
        <v>165</v>
      </c>
      <c r="B4" s="31">
        <v>4794</v>
      </c>
      <c r="C4">
        <f>B4/$B$3</f>
        <v>3.6049856184084371E-3</v>
      </c>
      <c r="D4">
        <v>106</v>
      </c>
      <c r="E4">
        <v>15</v>
      </c>
      <c r="F4">
        <v>0</v>
      </c>
    </row>
    <row r="5" spans="1:13" x14ac:dyDescent="0.3">
      <c r="A5" t="s">
        <v>175</v>
      </c>
      <c r="B5" s="31">
        <v>17736</v>
      </c>
      <c r="C5">
        <f t="shared" ref="C5:C11" si="0">B5/$B$3</f>
        <v>1.3337093226552367E-2</v>
      </c>
      <c r="D5">
        <v>91</v>
      </c>
      <c r="E5">
        <v>21</v>
      </c>
      <c r="G5">
        <v>0</v>
      </c>
    </row>
    <row r="6" spans="1:13" x14ac:dyDescent="0.3">
      <c r="A6" t="s">
        <v>168</v>
      </c>
      <c r="B6" s="31">
        <v>17286</v>
      </c>
      <c r="C6">
        <f t="shared" si="0"/>
        <v>1.2998702836839434E-2</v>
      </c>
      <c r="D6">
        <v>67</v>
      </c>
      <c r="E6">
        <v>37</v>
      </c>
      <c r="H6">
        <v>0</v>
      </c>
    </row>
    <row r="7" spans="1:13" x14ac:dyDescent="0.3">
      <c r="A7" t="s">
        <v>169</v>
      </c>
      <c r="B7" s="31">
        <v>100039</v>
      </c>
      <c r="C7">
        <f t="shared" si="0"/>
        <v>7.5227191547760044E-2</v>
      </c>
      <c r="D7">
        <v>76</v>
      </c>
      <c r="E7">
        <v>42</v>
      </c>
      <c r="I7">
        <v>0</v>
      </c>
    </row>
    <row r="8" spans="1:13" x14ac:dyDescent="0.3">
      <c r="A8" t="s">
        <v>170</v>
      </c>
      <c r="B8" s="31">
        <v>17466</v>
      </c>
      <c r="C8">
        <f t="shared" si="0"/>
        <v>1.3134058992724606E-2</v>
      </c>
      <c r="D8">
        <v>98</v>
      </c>
      <c r="E8">
        <v>23</v>
      </c>
      <c r="J8">
        <v>0</v>
      </c>
    </row>
    <row r="9" spans="1:13" x14ac:dyDescent="0.3">
      <c r="A9" t="s">
        <v>171</v>
      </c>
      <c r="B9" s="31">
        <v>4374</v>
      </c>
      <c r="C9">
        <f t="shared" si="0"/>
        <v>3.2891545880097007E-3</v>
      </c>
      <c r="D9">
        <v>76</v>
      </c>
      <c r="E9">
        <v>18</v>
      </c>
      <c r="K9">
        <v>0</v>
      </c>
    </row>
    <row r="10" spans="1:13" x14ac:dyDescent="0.3">
      <c r="A10" t="s">
        <v>172</v>
      </c>
      <c r="B10" s="31">
        <v>17306</v>
      </c>
      <c r="C10">
        <f t="shared" si="0"/>
        <v>1.3013742409715564E-2</v>
      </c>
      <c r="D10">
        <v>104</v>
      </c>
      <c r="E10">
        <v>12</v>
      </c>
      <c r="L10">
        <v>0</v>
      </c>
    </row>
    <row r="11" spans="1:13" x14ac:dyDescent="0.3">
      <c r="A11" t="s">
        <v>174</v>
      </c>
      <c r="B11" s="31">
        <v>51054</v>
      </c>
      <c r="C11">
        <f t="shared" si="0"/>
        <v>3.8391517680897866E-2</v>
      </c>
      <c r="D11">
        <v>84</v>
      </c>
      <c r="E11">
        <v>54</v>
      </c>
      <c r="M11">
        <v>0</v>
      </c>
    </row>
    <row r="12" spans="1:13" x14ac:dyDescent="0.3">
      <c r="B12">
        <f>B3/500</f>
        <v>2659.65</v>
      </c>
      <c r="C12">
        <f>C3/500</f>
        <v>2E-3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71E0-F2D7-4B44-876A-474EE59B1D97}">
  <dimension ref="A1:G27"/>
  <sheetViews>
    <sheetView workbookViewId="0">
      <selection activeCell="A9" sqref="A9:XFD9"/>
    </sheetView>
  </sheetViews>
  <sheetFormatPr defaultRowHeight="16.5" x14ac:dyDescent="0.3"/>
  <cols>
    <col min="4" max="5" width="9.75" customWidth="1"/>
  </cols>
  <sheetData>
    <row r="1" spans="1:7" x14ac:dyDescent="0.3">
      <c r="A1" t="s">
        <v>180</v>
      </c>
    </row>
    <row r="2" spans="1:7" x14ac:dyDescent="0.3">
      <c r="B2" t="s">
        <v>56</v>
      </c>
      <c r="C2" t="s">
        <v>177</v>
      </c>
      <c r="D2" t="s">
        <v>36</v>
      </c>
      <c r="E2" t="s">
        <v>184</v>
      </c>
      <c r="F2" t="s">
        <v>10</v>
      </c>
      <c r="G2" t="s">
        <v>178</v>
      </c>
    </row>
    <row r="3" spans="1:7" x14ac:dyDescent="0.3">
      <c r="A3" t="s">
        <v>10</v>
      </c>
      <c r="B3">
        <v>5652922</v>
      </c>
      <c r="C3">
        <v>1</v>
      </c>
      <c r="D3">
        <v>144923.24</v>
      </c>
      <c r="E3">
        <f>B3/D3</f>
        <v>39.006318103293857</v>
      </c>
      <c r="F3">
        <v>0</v>
      </c>
      <c r="G3">
        <v>26</v>
      </c>
    </row>
    <row r="4" spans="1:7" x14ac:dyDescent="0.3">
      <c r="A4" t="s">
        <v>68</v>
      </c>
      <c r="B4">
        <v>95402</v>
      </c>
      <c r="C4">
        <f t="shared" ref="C4:C10" si="0">B4/$B$3</f>
        <v>1.6876581704116916E-2</v>
      </c>
      <c r="F4">
        <v>14</v>
      </c>
      <c r="G4">
        <v>78</v>
      </c>
    </row>
    <row r="5" spans="1:7" x14ac:dyDescent="0.3">
      <c r="A5" t="s">
        <v>1</v>
      </c>
      <c r="B5">
        <v>34617</v>
      </c>
      <c r="C5">
        <f t="shared" si="0"/>
        <v>6.1237356538795338E-3</v>
      </c>
      <c r="F5">
        <v>15</v>
      </c>
      <c r="G5">
        <v>66</v>
      </c>
    </row>
    <row r="6" spans="1:7" x14ac:dyDescent="0.3">
      <c r="A6" t="s">
        <v>0</v>
      </c>
      <c r="B6">
        <v>116293</v>
      </c>
      <c r="C6">
        <f t="shared" si="0"/>
        <v>2.0572192575804161E-2</v>
      </c>
      <c r="F6">
        <v>16</v>
      </c>
      <c r="G6">
        <v>96</v>
      </c>
    </row>
    <row r="7" spans="1:7" x14ac:dyDescent="0.3">
      <c r="A7" t="s">
        <v>179</v>
      </c>
      <c r="B7">
        <v>25828</v>
      </c>
      <c r="C7">
        <f t="shared" si="0"/>
        <v>4.5689645107432932E-3</v>
      </c>
      <c r="F7">
        <v>16</v>
      </c>
      <c r="G7">
        <v>98</v>
      </c>
    </row>
    <row r="8" spans="1:7" x14ac:dyDescent="0.3">
      <c r="A8" t="s">
        <v>122</v>
      </c>
      <c r="B8">
        <v>20443</v>
      </c>
      <c r="C8">
        <f t="shared" si="0"/>
        <v>3.6163598224068895E-3</v>
      </c>
      <c r="F8">
        <v>23</v>
      </c>
      <c r="G8">
        <v>100</v>
      </c>
    </row>
    <row r="9" spans="1:7" x14ac:dyDescent="0.3">
      <c r="A9" t="s">
        <v>5</v>
      </c>
      <c r="B9">
        <v>78533</v>
      </c>
      <c r="C9">
        <f t="shared" si="0"/>
        <v>1.3892461279317139E-2</v>
      </c>
      <c r="F9">
        <v>24</v>
      </c>
      <c r="G9">
        <v>110</v>
      </c>
    </row>
    <row r="10" spans="1:7" x14ac:dyDescent="0.3">
      <c r="A10" t="s">
        <v>7</v>
      </c>
      <c r="B10">
        <v>91514</v>
      </c>
      <c r="C10">
        <f t="shared" si="0"/>
        <v>1.6188795812148125E-2</v>
      </c>
      <c r="F10">
        <v>40</v>
      </c>
      <c r="G10">
        <v>62</v>
      </c>
    </row>
    <row r="11" spans="1:7" x14ac:dyDescent="0.3">
      <c r="A11" t="s">
        <v>6</v>
      </c>
      <c r="B11">
        <v>31676</v>
      </c>
      <c r="C11">
        <f>B11/ECA!$B$3</f>
        <v>2.0460060703261299E-2</v>
      </c>
      <c r="F11">
        <v>55</v>
      </c>
      <c r="G11">
        <v>88</v>
      </c>
    </row>
    <row r="12" spans="1:7" x14ac:dyDescent="0.3">
      <c r="A12" t="s">
        <v>8</v>
      </c>
      <c r="B12">
        <v>63746</v>
      </c>
      <c r="C12">
        <f>B12/$B$3</f>
        <v>1.1276645954074724E-2</v>
      </c>
      <c r="F12">
        <v>83</v>
      </c>
      <c r="G12">
        <v>66</v>
      </c>
    </row>
    <row r="13" spans="1:7" x14ac:dyDescent="0.3">
      <c r="A13" t="s">
        <v>4</v>
      </c>
      <c r="B13">
        <v>70443</v>
      </c>
      <c r="C13">
        <f>B13/$B$3</f>
        <v>1.246134300101788E-2</v>
      </c>
      <c r="F13">
        <v>124</v>
      </c>
      <c r="G13">
        <v>102</v>
      </c>
    </row>
    <row r="27" spans="2:3" x14ac:dyDescent="0.3">
      <c r="B27">
        <f>B3/500</f>
        <v>11305.843999999999</v>
      </c>
      <c r="C27">
        <f>C3/500</f>
        <v>2E-3</v>
      </c>
    </row>
  </sheetData>
  <sortState xmlns:xlrd2="http://schemas.microsoft.com/office/spreadsheetml/2017/richdata2" ref="A3:F13">
    <sortCondition ref="F3:F13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27C2-E531-4A11-8EDD-75F46DF30F0E}">
  <dimension ref="A1:E8"/>
  <sheetViews>
    <sheetView workbookViewId="0">
      <selection activeCell="E8" sqref="E8"/>
    </sheetView>
  </sheetViews>
  <sheetFormatPr defaultRowHeight="16.5" x14ac:dyDescent="0.3"/>
  <sheetData>
    <row r="1" spans="1:5" x14ac:dyDescent="0.3">
      <c r="A1" t="s">
        <v>181</v>
      </c>
    </row>
    <row r="2" spans="1:5" x14ac:dyDescent="0.3">
      <c r="B2" t="s">
        <v>56</v>
      </c>
      <c r="C2" t="s">
        <v>177</v>
      </c>
      <c r="D2" t="s">
        <v>178</v>
      </c>
      <c r="E2" t="s">
        <v>153</v>
      </c>
    </row>
    <row r="3" spans="1:5" x14ac:dyDescent="0.3">
      <c r="A3" t="s">
        <v>153</v>
      </c>
      <c r="B3">
        <v>1548187</v>
      </c>
      <c r="C3">
        <v>1</v>
      </c>
      <c r="D3">
        <v>66</v>
      </c>
      <c r="E3">
        <v>0</v>
      </c>
    </row>
    <row r="4" spans="1:5" x14ac:dyDescent="0.3">
      <c r="A4" t="s">
        <v>156</v>
      </c>
      <c r="B4">
        <v>60566</v>
      </c>
      <c r="C4">
        <f>B4/$B$3</f>
        <v>3.912059718884088E-2</v>
      </c>
      <c r="D4">
        <v>82</v>
      </c>
      <c r="E4">
        <v>14</v>
      </c>
    </row>
    <row r="5" spans="1:5" x14ac:dyDescent="0.3">
      <c r="A5" t="s">
        <v>182</v>
      </c>
      <c r="B5">
        <v>15446</v>
      </c>
      <c r="C5">
        <f>B5/$B$3</f>
        <v>9.9768309642181471E-3</v>
      </c>
      <c r="D5">
        <v>40</v>
      </c>
      <c r="E5">
        <v>24</v>
      </c>
    </row>
    <row r="6" spans="1:5" x14ac:dyDescent="0.3">
      <c r="A6" t="s">
        <v>183</v>
      </c>
      <c r="B6">
        <v>77492</v>
      </c>
      <c r="C6">
        <f>B6/$B$3</f>
        <v>5.005338502390215E-2</v>
      </c>
      <c r="D6">
        <v>34</v>
      </c>
      <c r="E6">
        <v>12</v>
      </c>
    </row>
    <row r="7" spans="1:5" x14ac:dyDescent="0.3">
      <c r="A7" t="s">
        <v>161</v>
      </c>
      <c r="B7">
        <v>24103</v>
      </c>
      <c r="C7">
        <f>B7/$B$3</f>
        <v>1.5568532741845784E-2</v>
      </c>
      <c r="D7">
        <v>64</v>
      </c>
      <c r="E7">
        <v>18</v>
      </c>
    </row>
    <row r="8" spans="1:5" x14ac:dyDescent="0.3">
      <c r="B8">
        <f>B3/500</f>
        <v>3096.3739999999998</v>
      </c>
      <c r="C8">
        <f>C3/500</f>
        <v>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Лист2</vt:lpstr>
      <vt:lpstr>Лист4</vt:lpstr>
      <vt:lpstr>Лист3</vt:lpstr>
      <vt:lpstr>KzCA</vt:lpstr>
      <vt:lpstr>SPCA</vt:lpstr>
      <vt:lpstr>ECA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Dubinin</dc:creator>
  <cp:lastModifiedBy>Roman Dubinin</cp:lastModifiedBy>
  <dcterms:created xsi:type="dcterms:W3CDTF">2015-06-05T18:19:34Z</dcterms:created>
  <dcterms:modified xsi:type="dcterms:W3CDTF">2026-04-23T21:18:37Z</dcterms:modified>
</cp:coreProperties>
</file>